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Tomás Nave\Documents\Faculdade\2ºAno\2ºSemestre\Engenharia de Requesitos e Testes 2º_2Sem\Projeto Parte 3\"/>
    </mc:Choice>
  </mc:AlternateContent>
  <xr:revisionPtr revIDLastSave="0" documentId="13_ncr:1_{C9BFD153-EDE7-4AD7-B560-F3DE0612FAD7}" xr6:coauthVersionLast="47" xr6:coauthVersionMax="47" xr10:uidLastSave="{00000000-0000-0000-0000-000000000000}"/>
  <bookViews>
    <workbookView xWindow="-110" yWindow="-110" windowWidth="19420" windowHeight="10300" tabRatio="620" xr2:uid="{00000000-000D-0000-FFFF-FFFF00000000}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_xlnm.Print_Area" localSheetId="2">Capacity!$A$4:$AB$33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6" l="1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E2" i="6"/>
  <c r="G25" i="6"/>
  <c r="G24" i="6"/>
  <c r="G23" i="6"/>
  <c r="G22" i="6"/>
  <c r="G21" i="6"/>
  <c r="G20" i="6"/>
  <c r="G19" i="6"/>
  <c r="G18" i="6"/>
  <c r="G17" i="6"/>
  <c r="G16" i="6"/>
  <c r="G15" i="6"/>
  <c r="G14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G11" i="6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G12" i="6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5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3" i="7"/>
  <c r="R43" i="7" s="1"/>
  <c r="U43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60" i="7" l="1"/>
  <c r="R60" i="7" s="1"/>
  <c r="O44" i="7"/>
  <c r="R44" i="7" s="1"/>
  <c r="U44" i="7" s="1"/>
  <c r="G44" i="7"/>
  <c r="G43" i="7"/>
  <c r="X43" i="7"/>
  <c r="AA43" i="7" s="1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G10" i="6" s="1"/>
  <c r="O15" i="7"/>
  <c r="R15" i="7" s="1"/>
  <c r="U15" i="7" s="1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G13" i="6" s="1"/>
  <c r="O13" i="7"/>
  <c r="O59" i="7"/>
  <c r="O57" i="7"/>
  <c r="O55" i="7"/>
  <c r="R55" i="7" s="1"/>
  <c r="U55" i="7" s="1"/>
  <c r="G55" i="7" s="1"/>
  <c r="O53" i="7"/>
  <c r="O51" i="7"/>
  <c r="R51" i="7" s="1"/>
  <c r="U51" i="7" s="1"/>
  <c r="G51" i="7" s="1"/>
  <c r="O58" i="7"/>
  <c r="O56" i="7"/>
  <c r="R56" i="7" s="1"/>
  <c r="U56" i="7" s="1"/>
  <c r="G56" i="7" s="1"/>
  <c r="O54" i="7"/>
  <c r="R54" i="7" s="1"/>
  <c r="R53" i="7"/>
  <c r="O52" i="7"/>
  <c r="R52" i="7" s="1"/>
  <c r="U52" i="7" s="1"/>
  <c r="G52" i="7" s="1"/>
  <c r="O50" i="7"/>
  <c r="R50" i="7" s="1"/>
  <c r="O48" i="7"/>
  <c r="R48" i="7" s="1"/>
  <c r="O46" i="7"/>
  <c r="R46" i="7" s="1"/>
  <c r="U46" i="7" s="1"/>
  <c r="G46" i="7" s="1"/>
  <c r="O42" i="7"/>
  <c r="O40" i="7"/>
  <c r="O38" i="7"/>
  <c r="O36" i="7"/>
  <c r="O34" i="7"/>
  <c r="R33" i="7"/>
  <c r="O32" i="7"/>
  <c r="O30" i="7"/>
  <c r="O28" i="7"/>
  <c r="R28" i="7" s="1"/>
  <c r="U28" i="7" s="1"/>
  <c r="G28" i="7" s="1"/>
  <c r="O26" i="7"/>
  <c r="O24" i="7"/>
  <c r="O7" i="7"/>
  <c r="R7" i="7" s="1"/>
  <c r="U7" i="7" s="1"/>
  <c r="G7" i="7" s="1"/>
  <c r="O5" i="7"/>
  <c r="O22" i="7"/>
  <c r="R22" i="7" s="1"/>
  <c r="U22" i="7" s="1"/>
  <c r="G22" i="7" s="1"/>
  <c r="O18" i="7"/>
  <c r="R18" i="7" s="1"/>
  <c r="U18" i="7" s="1"/>
  <c r="G18" i="7" s="1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25" i="7"/>
  <c r="R24" i="7"/>
  <c r="O6" i="7"/>
  <c r="O20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31" i="7" l="1"/>
  <c r="R17" i="7"/>
  <c r="R21" i="7"/>
  <c r="X44" i="7"/>
  <c r="AA44" i="7" s="1"/>
  <c r="R39" i="7"/>
  <c r="R23" i="7"/>
  <c r="R19" i="7"/>
  <c r="U19" i="7" s="1"/>
  <c r="R29" i="7"/>
  <c r="U29" i="7" s="1"/>
  <c r="R37" i="7"/>
  <c r="U37" i="7" s="1"/>
  <c r="R47" i="7"/>
  <c r="U47" i="7" s="1"/>
  <c r="U53" i="7"/>
  <c r="X53" i="7" s="1"/>
  <c r="R13" i="7"/>
  <c r="U13" i="7" s="1"/>
  <c r="G13" i="7" s="1"/>
  <c r="U31" i="7"/>
  <c r="G31" i="7" s="1"/>
  <c r="G53" i="7"/>
  <c r="U60" i="7"/>
  <c r="R59" i="7"/>
  <c r="U59" i="7" s="1"/>
  <c r="R5" i="7"/>
  <c r="U5" i="7" s="1"/>
  <c r="G5" i="7" s="1"/>
  <c r="R27" i="7"/>
  <c r="U27" i="7" s="1"/>
  <c r="R35" i="7"/>
  <c r="U35" i="7" s="1"/>
  <c r="R45" i="7"/>
  <c r="U45" i="7" s="1"/>
  <c r="R57" i="7"/>
  <c r="U14" i="7"/>
  <c r="G14" i="7" s="1"/>
  <c r="AD43" i="7"/>
  <c r="AG43" i="7" s="1"/>
  <c r="AD44" i="7"/>
  <c r="AG44" i="7" s="1"/>
  <c r="G15" i="7"/>
  <c r="X15" i="7"/>
  <c r="AA15" i="7" s="1"/>
  <c r="AD15" i="7" s="1"/>
  <c r="AG15" i="7" s="1"/>
  <c r="G45" i="7"/>
  <c r="G35" i="7"/>
  <c r="U25" i="7"/>
  <c r="G25" i="7" s="1"/>
  <c r="R11" i="7"/>
  <c r="U11" i="7" s="1"/>
  <c r="G11" i="7" s="1"/>
  <c r="U12" i="7"/>
  <c r="X8" i="7"/>
  <c r="AA8" i="7" s="1"/>
  <c r="U10" i="7"/>
  <c r="R20" i="7"/>
  <c r="U20" i="7" s="1"/>
  <c r="G20" i="7" s="1"/>
  <c r="X22" i="7"/>
  <c r="AA22" i="7" s="1"/>
  <c r="R26" i="7"/>
  <c r="R34" i="7"/>
  <c r="R36" i="7"/>
  <c r="R42" i="7"/>
  <c r="R49" i="7"/>
  <c r="X46" i="7"/>
  <c r="U17" i="7"/>
  <c r="U21" i="7"/>
  <c r="G21" i="7" s="1"/>
  <c r="U39" i="7"/>
  <c r="U41" i="7"/>
  <c r="R58" i="7"/>
  <c r="G60" i="7"/>
  <c r="X60" i="7"/>
  <c r="AA60" i="7" s="1"/>
  <c r="U9" i="7"/>
  <c r="X9" i="7" s="1"/>
  <c r="AA9" i="7" s="1"/>
  <c r="R32" i="7"/>
  <c r="R38" i="7"/>
  <c r="U48" i="7"/>
  <c r="X48" i="7" s="1"/>
  <c r="U50" i="7"/>
  <c r="X51" i="7"/>
  <c r="U54" i="7"/>
  <c r="X55" i="7"/>
  <c r="X7" i="7"/>
  <c r="AA7" i="7" s="1"/>
  <c r="R6" i="7"/>
  <c r="R16" i="7"/>
  <c r="X18" i="7"/>
  <c r="U24" i="7"/>
  <c r="X28" i="7"/>
  <c r="R30" i="7"/>
  <c r="U33" i="7"/>
  <c r="R40" i="7"/>
  <c r="AA46" i="7"/>
  <c r="X52" i="7"/>
  <c r="X56" i="7"/>
  <c r="U23" i="7"/>
  <c r="R61" i="7"/>
  <c r="U61" i="7" s="1"/>
  <c r="X61" i="7" s="1"/>
  <c r="AA61" i="7" s="1"/>
  <c r="X45" i="7" l="1"/>
  <c r="AA45" i="7" s="1"/>
  <c r="AD45" i="7" s="1"/>
  <c r="AA53" i="7"/>
  <c r="X25" i="7"/>
  <c r="X31" i="7"/>
  <c r="AA31" i="7" s="1"/>
  <c r="X10" i="7"/>
  <c r="AA10" i="7" s="1"/>
  <c r="AD10" i="7" s="1"/>
  <c r="G59" i="7"/>
  <c r="X59" i="7"/>
  <c r="AA59" i="7" s="1"/>
  <c r="X35" i="7"/>
  <c r="AA35" i="7" s="1"/>
  <c r="AD35" i="7" s="1"/>
  <c r="U57" i="7"/>
  <c r="X5" i="7"/>
  <c r="AA5" i="7" s="1"/>
  <c r="X21" i="7"/>
  <c r="AA21" i="7" s="1"/>
  <c r="X13" i="7"/>
  <c r="AA13" i="7" s="1"/>
  <c r="X11" i="7"/>
  <c r="AA11" i="7" s="1"/>
  <c r="X14" i="7"/>
  <c r="AA14" i="7" s="1"/>
  <c r="AD60" i="7"/>
  <c r="AG60" i="7" s="1"/>
  <c r="G23" i="7"/>
  <c r="X23" i="7"/>
  <c r="AA23" i="7" s="1"/>
  <c r="G19" i="7"/>
  <c r="X19" i="7"/>
  <c r="AA19" i="7" s="1"/>
  <c r="U30" i="7"/>
  <c r="G30" i="7" s="1"/>
  <c r="G54" i="7"/>
  <c r="G48" i="7"/>
  <c r="U32" i="7"/>
  <c r="X32" i="7" s="1"/>
  <c r="G9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AA28" i="7"/>
  <c r="AD28" i="7" s="1"/>
  <c r="AG28" i="7" s="1"/>
  <c r="U6" i="7"/>
  <c r="G6" i="7" s="1"/>
  <c r="X20" i="7"/>
  <c r="AA20" i="7" s="1"/>
  <c r="AA55" i="7"/>
  <c r="AD55" i="7" s="1"/>
  <c r="AA51" i="7"/>
  <c r="AD51" i="7" s="1"/>
  <c r="AA56" i="7"/>
  <c r="AA52" i="7"/>
  <c r="X17" i="7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X58" i="7" s="1"/>
  <c r="G41" i="7"/>
  <c r="X41" i="7"/>
  <c r="G37" i="7"/>
  <c r="X37" i="7"/>
  <c r="AA37" i="7" s="1"/>
  <c r="U49" i="7"/>
  <c r="U34" i="7"/>
  <c r="G10" i="7"/>
  <c r="G12" i="7"/>
  <c r="X12" i="7"/>
  <c r="AD22" i="7"/>
  <c r="X54" i="7"/>
  <c r="X50" i="7"/>
  <c r="AD53" i="7"/>
  <c r="AA18" i="7"/>
  <c r="AD18" i="7" s="1"/>
  <c r="U16" i="7"/>
  <c r="G16" i="7" s="1"/>
  <c r="AA25" i="7"/>
  <c r="AJ43" i="7"/>
  <c r="AJ15" i="7"/>
  <c r="AD61" i="7"/>
  <c r="AD31" i="7" l="1"/>
  <c r="AD21" i="7"/>
  <c r="AD5" i="7"/>
  <c r="AG5" i="7" s="1"/>
  <c r="AJ5" i="7" s="1"/>
  <c r="AG10" i="7"/>
  <c r="AJ10" i="7" s="1"/>
  <c r="AG45" i="7"/>
  <c r="AJ45" i="7" s="1"/>
  <c r="AM45" i="7" s="1"/>
  <c r="AD14" i="7"/>
  <c r="AG14" i="7" s="1"/>
  <c r="AJ14" i="7" s="1"/>
  <c r="AG35" i="7"/>
  <c r="AJ35" i="7" s="1"/>
  <c r="G57" i="7"/>
  <c r="X57" i="7"/>
  <c r="X30" i="7"/>
  <c r="AA30" i="7" s="1"/>
  <c r="AD59" i="7"/>
  <c r="AG59" i="7" s="1"/>
  <c r="AJ59" i="7" s="1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J51" i="7" s="1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D24" i="7" s="1"/>
  <c r="AJ28" i="7"/>
  <c r="AG21" i="7"/>
  <c r="AG22" i="7"/>
  <c r="AD25" i="7"/>
  <c r="AG25" i="7" s="1"/>
  <c r="AJ25" i="7" s="1"/>
  <c r="AG31" i="7"/>
  <c r="X40" i="7"/>
  <c r="AA40" i="7" s="1"/>
  <c r="AD40" i="7" s="1"/>
  <c r="X26" i="7"/>
  <c r="X42" i="7"/>
  <c r="AG9" i="7"/>
  <c r="AG48" i="7"/>
  <c r="X6" i="7"/>
  <c r="AA6" i="7" s="1"/>
  <c r="AG18" i="7"/>
  <c r="AD52" i="7"/>
  <c r="AG52" i="7" s="1"/>
  <c r="AG53" i="7"/>
  <c r="AJ53" i="7" s="1"/>
  <c r="AM53" i="7" s="1"/>
  <c r="AP53" i="7" s="1"/>
  <c r="AS53" i="7" s="1"/>
  <c r="AV53" i="7" s="1"/>
  <c r="AY53" i="7" s="1"/>
  <c r="AD19" i="7"/>
  <c r="AJ60" i="7"/>
  <c r="AD37" i="7"/>
  <c r="AD27" i="7"/>
  <c r="G38" i="7"/>
  <c r="AA38" i="7"/>
  <c r="AD38" i="7" s="1"/>
  <c r="AA17" i="7"/>
  <c r="AD17" i="7" s="1"/>
  <c r="AG55" i="7"/>
  <c r="AJ55" i="7" s="1"/>
  <c r="G42" i="7"/>
  <c r="AA42" i="7"/>
  <c r="AD42" i="7" s="1"/>
  <c r="G32" i="7"/>
  <c r="AA32" i="7"/>
  <c r="AD32" i="7" s="1"/>
  <c r="AM43" i="7"/>
  <c r="AP43" i="7" s="1"/>
  <c r="AD23" i="7"/>
  <c r="AG23" i="7" s="1"/>
  <c r="X49" i="7"/>
  <c r="AA58" i="7"/>
  <c r="AD11" i="7"/>
  <c r="AA50" i="7"/>
  <c r="AA54" i="7"/>
  <c r="AM15" i="7"/>
  <c r="AA29" i="7"/>
  <c r="X16" i="7"/>
  <c r="AD56" i="7"/>
  <c r="AA41" i="7"/>
  <c r="AG61" i="7"/>
  <c r="AM13" i="7" l="1"/>
  <c r="AP13" i="7" s="1"/>
  <c r="AS13" i="7" s="1"/>
  <c r="AV13" i="7" s="1"/>
  <c r="AY13" i="7" s="1"/>
  <c r="AM10" i="7"/>
  <c r="AP10" i="7" s="1"/>
  <c r="AG32" i="7"/>
  <c r="AJ32" i="7" s="1"/>
  <c r="AM32" i="7" s="1"/>
  <c r="AP32" i="7" s="1"/>
  <c r="AS32" i="7" s="1"/>
  <c r="AV32" i="7" s="1"/>
  <c r="AY32" i="7" s="1"/>
  <c r="AA57" i="7"/>
  <c r="AD57" i="7" s="1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J17" i="7" s="1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G54" i="7" s="1"/>
  <c r="AJ54" i="7" s="1"/>
  <c r="AM54" i="7" s="1"/>
  <c r="AP54" i="7" s="1"/>
  <c r="AS54" i="7" s="1"/>
  <c r="AV54" i="7" s="1"/>
  <c r="AY54" i="7" s="1"/>
  <c r="CE54" i="7" s="1"/>
  <c r="AS43" i="7"/>
  <c r="AV43" i="7" s="1"/>
  <c r="AY43" i="7" s="1"/>
  <c r="AP7" i="7"/>
  <c r="AS7" i="7" s="1"/>
  <c r="AV7" i="7" s="1"/>
  <c r="AY7" i="7" s="1"/>
  <c r="CE7" i="7" s="1"/>
  <c r="AD30" i="7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J61" i="7"/>
  <c r="AS10" i="7" l="1"/>
  <c r="AV10" i="7" s="1"/>
  <c r="AY10" i="7" s="1"/>
  <c r="BE10" i="7" s="1"/>
  <c r="BH10" i="7" s="1"/>
  <c r="AG57" i="7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AV16" i="7"/>
  <c r="AY16" i="7" s="1"/>
  <c r="AS35" i="7"/>
  <c r="AV35" i="7" s="1"/>
  <c r="AY35" i="7" s="1"/>
  <c r="BB35" i="7" s="1"/>
  <c r="BE35" i="7" s="1"/>
  <c r="BH35" i="7" s="1"/>
  <c r="BK35" i="7" s="1"/>
  <c r="BN35" i="7" s="1"/>
  <c r="BQ35" i="7" s="1"/>
  <c r="BT35" i="7" s="1"/>
  <c r="BW35" i="7" s="1"/>
  <c r="BZ35" i="7" s="1"/>
  <c r="CC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BK10" i="7" l="1"/>
  <c r="BN10" i="7" s="1"/>
  <c r="BQ10" i="7" s="1"/>
  <c r="BT10" i="7" s="1"/>
  <c r="BW10" i="7" s="1"/>
  <c r="BZ10" i="7" s="1"/>
  <c r="CE10" i="7"/>
  <c r="CC10" i="7"/>
  <c r="BB10" i="7"/>
  <c r="BW41" i="7"/>
  <c r="BZ41" i="7" s="1"/>
  <c r="CC41" i="7" s="1"/>
  <c r="BH41" i="7"/>
  <c r="BK41" i="7" s="1"/>
  <c r="BN41" i="7" s="1"/>
  <c r="BQ41" i="7" s="1"/>
  <c r="BT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35" i="7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BB30" i="7" l="1"/>
  <c r="BE30" i="7" s="1"/>
  <c r="BH30" i="7" s="1"/>
  <c r="BK30" i="7" s="1"/>
  <c r="BN30" i="7" s="1"/>
  <c r="BQ30" i="7" s="1"/>
  <c r="BT30" i="7" s="1"/>
  <c r="BW30" i="7" s="1"/>
  <c r="BZ30" i="7" s="1"/>
  <c r="CC30" i="7" s="1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42" i="7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D2" i="6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G9" i="6" l="1"/>
  <c r="G8" i="6"/>
  <c r="C25" i="9"/>
  <c r="N67" i="7"/>
  <c r="O4" i="7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8" i="6"/>
  <c r="K6" i="6"/>
  <c r="S1" i="7"/>
  <c r="G20" i="8"/>
  <c r="F23" i="8"/>
  <c r="F22" i="8"/>
  <c r="C8" i="6" l="1"/>
  <c r="R4" i="7"/>
  <c r="U4" i="7" s="1"/>
  <c r="G4" i="7"/>
  <c r="F36" i="8"/>
  <c r="Q67" i="7"/>
  <c r="F31" i="8"/>
  <c r="W67" i="7"/>
  <c r="T67" i="7"/>
  <c r="F37" i="8"/>
  <c r="F35" i="8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C9" i="6" l="1"/>
  <c r="C10" i="6" s="1"/>
  <c r="J37" i="8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36" i="8"/>
  <c r="L28" i="8" l="1"/>
  <c r="AR67" i="7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5" i="8" s="1"/>
  <c r="R29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32" i="8" l="1"/>
  <c r="R27" i="8"/>
  <c r="R28" i="8" s="1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Mitch Lacey</author>
    <author>James Waletzky</author>
  </authors>
  <commentList>
    <comment ref="I2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 xr:uid="{00000000-0006-0000-0100-000002000000}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<sst xmlns="http://schemas.openxmlformats.org/spreadsheetml/2006/main" count="371" uniqueCount="172">
  <si>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</si>
  <si>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</si>
  <si>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</si>
  <si>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</si>
  <si>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</si>
  <si>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</si>
  <si>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</si>
  <si>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</si>
  <si>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</si>
  <si>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</si>
  <si>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</si>
  <si>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</si>
  <si>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</si>
  <si>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</si>
  <si>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</si>
  <si>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</si>
  <si>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</si>
  <si>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</si>
  <si>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</si>
  <si>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</si>
  <si>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</si>
  <si>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</si>
  <si>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</si>
  <si>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</si>
  <si>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</si>
  <si>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</si>
  <si>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</si>
  <si>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</si>
  <si>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</si>
  <si>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</si>
  <si>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</si>
  <si>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</si>
  <si>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</si>
  <si>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</si>
  <si>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</si>
  <si>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</si>
  <si>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</si>
  <si>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</si>
  <si>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</si>
  <si>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</si>
  <si>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</si>
  <si>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</si>
  <si>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</si>
  <si>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</si>
  <si>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</si>
  <si>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</si>
  <si>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</si>
  <si>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</si>
  <si>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</si>
  <si>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</si>
  <si>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</si>
  <si>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</si>
  <si>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</si>
  <si>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</si>
  <si>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</si>
  <si>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</si>
  <si>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</si>
  <si>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</si>
  <si>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</si>
  <si>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</si>
  <si>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</si>
  <si>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</si>
  <si>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</si>
  <si>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</si>
  <si>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</si>
  <si>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</si>
  <si>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</si>
  <si>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</si>
  <si>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</si>
  <si>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</si>
  <si>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</si>
  <si>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</si>
  <si>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</si>
  <si>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</si>
  <si>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</si>
  <si>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</si>
  <si>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</si>
  <si>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</si>
  <si>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</si>
  <si>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</si>
  <si>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</si>
  <si>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</si>
  <si>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</si>
  <si>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</si>
  <si>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</si>
  <si>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</si>
  <si>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</si>
  <si>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</si>
  <si>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</si>
  <si>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</si>
  <si>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</si>
  <si>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</si>
  <si>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</si>
  <si>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</si>
  <si>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</si>
  <si>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</si>
  <si>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</si>
  <si>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</si>
  <si>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</si>
  <si>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</si>
  <si>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</si>
  <si>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</si>
  <si>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</si>
  <si>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</si>
  <si>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</si>
  <si>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</si>
  <si>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</si>
  <si>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</si>
  <si>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</si>
  <si>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</si>
  <si>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</si>
  <si>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</si>
  <si>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</si>
  <si>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</si>
  <si>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</si>
  <si>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</si>
  <si>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</si>
  <si>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</si>
  <si>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</si>
  <si>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</si>
  <si>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</si>
  <si>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</si>
  <si>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</si>
  <si>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</si>
  <si>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</si>
  <si>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</si>
  <si>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</si>
  <si>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</si>
  <si>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</si>
  <si>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</si>
  <si>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</si>
  <si>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</si>
  <si>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</si>
  <si>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ERP01</t>
  </si>
  <si>
    <t>ERP02</t>
  </si>
  <si>
    <t>ERP03</t>
  </si>
  <si>
    <t>ERP04</t>
  </si>
  <si>
    <t>Integracao_ERP_GRH</t>
  </si>
  <si>
    <t>RT</t>
  </si>
  <si>
    <t>PR1</t>
  </si>
  <si>
    <t>PR2</t>
  </si>
  <si>
    <t>PR3</t>
  </si>
  <si>
    <t>DS1</t>
  </si>
  <si>
    <t>NA</t>
  </si>
  <si>
    <t>Analista</t>
  </si>
  <si>
    <t>Designer Gráfico</t>
  </si>
  <si>
    <t>Programador1</t>
  </si>
  <si>
    <t>Programador2</t>
  </si>
  <si>
    <t>Programador3</t>
  </si>
  <si>
    <t>Programador Senior</t>
  </si>
  <si>
    <t>Definição e Configuração do Ambiente de Testes</t>
  </si>
  <si>
    <t>Realização de Testes Unitários</t>
  </si>
  <si>
    <t>Definição dos Critérios de Circunstâncias Regulares</t>
  </si>
  <si>
    <t>Desenvolvimento e Implementação dos Algoritmos</t>
  </si>
  <si>
    <t>Monitoramento e Ajustes Contínuos</t>
  </si>
  <si>
    <t>Desenvolvimento e Implementação das APIs</t>
  </si>
  <si>
    <t>Análise e Definição dos Requisitos dos Formulários</t>
  </si>
  <si>
    <t>Criação e Configuração dos Formulários</t>
  </si>
  <si>
    <t>Implementação e Manutenção Contínua</t>
  </si>
  <si>
    <t>ERP05</t>
  </si>
  <si>
    <t>ERP06</t>
  </si>
  <si>
    <t>ERP07</t>
  </si>
  <si>
    <t>ERP08</t>
  </si>
  <si>
    <t>ERP09</t>
  </si>
  <si>
    <t>ERP10</t>
  </si>
  <si>
    <t>ERP11</t>
  </si>
  <si>
    <t>ERP12</t>
  </si>
  <si>
    <t>Monitorização e Manutenção Contínua</t>
  </si>
  <si>
    <t>Monitorização e Ajustes Contínuos</t>
  </si>
  <si>
    <t>AN</t>
  </si>
  <si>
    <t xml:space="preserve"> Planeamento da Integração e Definição dos Requisitos para Transferência de Dados</t>
  </si>
  <si>
    <t>Execução de Testes de Integração e Validação de Fluxo de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</si>
</sst>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187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Border="1" applyAlignment="1">
      <alignment horizontal="left" indent="1"/>
    </xf>
    <xf numFmtId="0" fontId="21" fillId="0" borderId="11" xfId="0" applyFont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/>
    <xf numFmtId="1" fontId="21" fillId="0" borderId="13" xfId="0" applyNumberFormat="1" applyFont="1" applyBorder="1"/>
    <xf numFmtId="0" fontId="21" fillId="22" borderId="0" xfId="0" applyFont="1" applyFill="1"/>
    <xf numFmtId="49" fontId="22" fillId="0" borderId="0" xfId="0" applyNumberFormat="1" applyFont="1" applyAlignment="1">
      <alignment shrinkToFit="1"/>
    </xf>
    <xf numFmtId="0" fontId="28" fillId="23" borderId="0" xfId="0" applyFont="1" applyFill="1"/>
    <xf numFmtId="1" fontId="29" fillId="20" borderId="0" xfId="0" applyNumberFormat="1" applyFont="1" applyFill="1"/>
    <xf numFmtId="0" fontId="21" fillId="20" borderId="0" xfId="0" applyFont="1" applyFill="1"/>
    <xf numFmtId="0" fontId="21" fillId="23" borderId="0" xfId="0" applyFont="1" applyFill="1"/>
    <xf numFmtId="1" fontId="22" fillId="20" borderId="0" xfId="0" applyNumberFormat="1" applyFont="1" applyFill="1"/>
    <xf numFmtId="0" fontId="22" fillId="23" borderId="0" xfId="0" applyFont="1" applyFill="1" applyAlignment="1">
      <alignment horizontal="left"/>
    </xf>
    <xf numFmtId="9" fontId="21" fillId="20" borderId="0" xfId="0" applyNumberFormat="1" applyFont="1" applyFill="1"/>
    <xf numFmtId="0" fontId="30" fillId="20" borderId="0" xfId="0" applyFont="1" applyFill="1"/>
    <xf numFmtId="9" fontId="22" fillId="20" borderId="0" xfId="0" applyNumberFormat="1" applyFont="1" applyFill="1"/>
    <xf numFmtId="0" fontId="31" fillId="20" borderId="0" xfId="0" applyFont="1" applyFill="1"/>
    <xf numFmtId="0" fontId="30" fillId="23" borderId="0" xfId="0" applyFont="1" applyFill="1"/>
    <xf numFmtId="14" fontId="30" fillId="20" borderId="0" xfId="0" applyNumberFormat="1" applyFont="1" applyFill="1"/>
    <xf numFmtId="1" fontId="21" fillId="20" borderId="0" xfId="0" applyNumberFormat="1" applyFont="1" applyFill="1"/>
    <xf numFmtId="0" fontId="32" fillId="20" borderId="0" xfId="0" applyFont="1" applyFill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Font="1" applyFill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/>
    <xf numFmtId="0" fontId="32" fillId="21" borderId="21" xfId="0" applyFont="1" applyFill="1" applyBorder="1"/>
    <xf numFmtId="0" fontId="32" fillId="21" borderId="20" xfId="0" applyFont="1" applyFill="1" applyBorder="1"/>
    <xf numFmtId="0" fontId="32" fillId="21" borderId="22" xfId="0" applyFont="1" applyFill="1" applyBorder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Alignment="1">
      <alignment horizontal="center" vertical="top" wrapText="1"/>
    </xf>
    <xf numFmtId="0" fontId="21" fillId="21" borderId="0" xfId="0" applyFont="1" applyFill="1" applyAlignment="1">
      <alignment vertical="top" wrapText="1"/>
    </xf>
    <xf numFmtId="0" fontId="36" fillId="21" borderId="0" xfId="0" applyFont="1" applyFill="1" applyAlignment="1">
      <alignment wrapText="1"/>
    </xf>
    <xf numFmtId="0" fontId="25" fillId="21" borderId="0" xfId="0" applyFont="1" applyFill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Alignment="1">
      <alignment vertical="top" wrapText="1"/>
    </xf>
    <xf numFmtId="0" fontId="33" fillId="21" borderId="0" xfId="0" applyFont="1" applyFill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Alignment="1">
      <alignment horizontal="left" vertical="top" wrapText="1"/>
    </xf>
    <xf numFmtId="0" fontId="25" fillId="21" borderId="32" xfId="0" applyFont="1" applyFill="1" applyBorder="1"/>
    <xf numFmtId="166" fontId="25" fillId="21" borderId="0" xfId="0" applyNumberFormat="1" applyFont="1" applyFill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/>
    <xf numFmtId="0" fontId="36" fillId="28" borderId="0" xfId="0" applyFont="1" applyFill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Border="1"/>
    <xf numFmtId="0" fontId="21" fillId="0" borderId="56" xfId="0" applyFont="1" applyBorder="1" applyAlignment="1">
      <alignment horizontal="left" vertical="top"/>
    </xf>
    <xf numFmtId="0" fontId="21" fillId="0" borderId="57" xfId="0" applyFont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/>
    <xf numFmtId="0" fontId="38" fillId="20" borderId="0" xfId="0" applyFont="1" applyFill="1"/>
    <xf numFmtId="0" fontId="37" fillId="0" borderId="0" xfId="0" applyFont="1"/>
    <xf numFmtId="0" fontId="39" fillId="0" borderId="0" xfId="0" applyFont="1"/>
    <xf numFmtId="9" fontId="40" fillId="0" borderId="0" xfId="0" applyNumberFormat="1" applyFont="1"/>
    <xf numFmtId="0" fontId="40" fillId="0" borderId="0" xfId="0" applyFont="1"/>
    <xf numFmtId="164" fontId="40" fillId="0" borderId="0" xfId="0" applyNumberFormat="1" applyFont="1"/>
    <xf numFmtId="0" fontId="41" fillId="0" borderId="0" xfId="0" applyFont="1"/>
    <xf numFmtId="165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/>
    <xf numFmtId="0" fontId="6" fillId="0" borderId="0" xfId="45" applyAlignment="1">
      <alignment horizontal="left"/>
    </xf>
    <xf numFmtId="0" fontId="6" fillId="0" borderId="0" xfId="45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Border="1" applyAlignment="1">
      <alignment horizontal="left" indent="1"/>
    </xf>
    <xf numFmtId="49" fontId="21" fillId="0" borderId="11" xfId="0" applyNumberFormat="1" applyFont="1" applyBorder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Font="1" applyAlignment="1">
      <alignment horizontal="center"/>
    </xf>
    <xf numFmtId="9" fontId="45" fillId="0" borderId="0" xfId="0" applyNumberFormat="1" applyFont="1"/>
    <xf numFmtId="9" fontId="45" fillId="0" borderId="0" xfId="0" applyNumberFormat="1" applyFont="1" applyAlignment="1">
      <alignment horizontal="center"/>
    </xf>
    <xf numFmtId="0" fontId="22" fillId="23" borderId="0" xfId="0" applyFont="1" applyFill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Alignment="1">
      <alignment horizontal="right"/>
    </xf>
    <xf numFmtId="0" fontId="37" fillId="0" borderId="0" xfId="0" applyFont="1"/>
    <xf numFmtId="0" fontId="25" fillId="0" borderId="0" xfId="0" applyFo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 xr:uid="{00000000-0005-0000-0000-000000000000}"/>
    <cellStyle name="Accent1 - 40%" xfId="3" xr:uid="{00000000-0005-0000-0000-000001000000}"/>
    <cellStyle name="Accent1 - 60%" xfId="4" xr:uid="{00000000-0005-0000-0000-000002000000}"/>
    <cellStyle name="Accent2 - 20%" xfId="6" xr:uid="{00000000-0005-0000-0000-000003000000}"/>
    <cellStyle name="Accent2 - 40%" xfId="7" xr:uid="{00000000-0005-0000-0000-000004000000}"/>
    <cellStyle name="Accent2 - 60%" xfId="8" xr:uid="{00000000-0005-0000-0000-000005000000}"/>
    <cellStyle name="Accent3 - 20%" xfId="10" xr:uid="{00000000-0005-0000-0000-000006000000}"/>
    <cellStyle name="Accent3 - 40%" xfId="11" xr:uid="{00000000-0005-0000-0000-000007000000}"/>
    <cellStyle name="Accent3 - 60%" xfId="12" xr:uid="{00000000-0005-0000-0000-000008000000}"/>
    <cellStyle name="Accent4 - 20%" xfId="14" xr:uid="{00000000-0005-0000-0000-000009000000}"/>
    <cellStyle name="Accent4 - 40%" xfId="15" xr:uid="{00000000-0005-0000-0000-00000A000000}"/>
    <cellStyle name="Accent4 - 60%" xfId="16" xr:uid="{00000000-0005-0000-0000-00000B000000}"/>
    <cellStyle name="Accent5 - 20%" xfId="18" xr:uid="{00000000-0005-0000-0000-00000C000000}"/>
    <cellStyle name="Accent5 - 40%" xfId="19" xr:uid="{00000000-0005-0000-0000-00000D000000}"/>
    <cellStyle name="Accent5 - 60%" xfId="20" xr:uid="{00000000-0005-0000-0000-00000E000000}"/>
    <cellStyle name="Accent6 - 20%" xfId="22" xr:uid="{00000000-0005-0000-0000-00000F000000}"/>
    <cellStyle name="Accent6 - 40%" xfId="23" xr:uid="{00000000-0005-0000-0000-000010000000}"/>
    <cellStyle name="Accent6 - 60%" xfId="24" xr:uid="{00000000-0005-0000-0000-000011000000}"/>
    <cellStyle name="Cabeçalho 1" xfId="32" builtinId="16" customBuiltin="1"/>
    <cellStyle name="Cabeçalho 2" xfId="33" builtinId="17" customBuiltin="1"/>
    <cellStyle name="Cabeçalho 3" xfId="34" builtinId="18" customBuiltin="1"/>
    <cellStyle name="Cabeçalho 4" xfId="35" builtinId="19" customBuiltin="1"/>
    <cellStyle name="Cálculo" xfId="26" builtinId="22" customBuiltin="1"/>
    <cellStyle name="Célula Ligada" xfId="38" builtinId="24" customBuiltin="1"/>
    <cellStyle name="Cor1" xfId="1" builtinId="29" customBuiltin="1"/>
    <cellStyle name="Cor2" xfId="5" builtinId="33" customBuiltin="1"/>
    <cellStyle name="Cor3" xfId="9" builtinId="37" customBuiltin="1"/>
    <cellStyle name="Cor4" xfId="13" builtinId="41" customBuiltin="1"/>
    <cellStyle name="Cor5" xfId="17" builtinId="45" customBuiltin="1"/>
    <cellStyle name="Cor6" xfId="21" builtinId="49" customBuiltin="1"/>
    <cellStyle name="Correto" xfId="31" builtinId="26" customBuiltin="1"/>
    <cellStyle name="Emphasis 1" xfId="28" xr:uid="{00000000-0005-0000-0000-00001F000000}"/>
    <cellStyle name="Emphasis 2" xfId="29" xr:uid="{00000000-0005-0000-0000-000020000000}"/>
    <cellStyle name="Emphasis 3" xfId="30" xr:uid="{00000000-0005-0000-0000-000021000000}"/>
    <cellStyle name="Entrada" xfId="37" builtinId="20" customBuiltin="1"/>
    <cellStyle name="Hiperligação" xfId="36" builtinId="8"/>
    <cellStyle name="Incorreto" xfId="25" builtinId="27" customBuiltin="1"/>
    <cellStyle name="Neutro" xfId="39" builtinId="28" customBuiltin="1"/>
    <cellStyle name="Normal" xfId="0" builtinId="0"/>
    <cellStyle name="Normal 2" xfId="45" xr:uid="{00000000-0005-0000-0000-000027000000}"/>
    <cellStyle name="Nota" xfId="40" builtinId="10" customBuiltin="1"/>
    <cellStyle name="Saída" xfId="41" builtinId="21" customBuiltin="1"/>
    <cellStyle name="Sheet Title" xfId="42" xr:uid="{00000000-0005-0000-0000-00002A000000}"/>
    <cellStyle name="Texto de Aviso" xfId="44" builtinId="11" customBuiltin="1"/>
    <cellStyle name="Total" xfId="43" builtinId="25" customBuiltin="1"/>
    <cellStyle name="Verificar Célula" xfId="27" builtinId="23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46</c:v>
                </c:pt>
                <c:pt idx="1">
                  <c:v>46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  <c:pt idx="6">
                  <c:v>50</c:v>
                </c:pt>
                <c:pt idx="7">
                  <c:v>50</c:v>
                </c:pt>
                <c:pt idx="8">
                  <c:v>52</c:v>
                </c:pt>
                <c:pt idx="9">
                  <c:v>54</c:v>
                </c:pt>
                <c:pt idx="10">
                  <c:v>55</c:v>
                </c:pt>
                <c:pt idx="11">
                  <c:v>55</c:v>
                </c:pt>
                <c:pt idx="12">
                  <c:v>55</c:v>
                </c:pt>
                <c:pt idx="1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82-43F5-B5F4-06CD91C4DB47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82-43F5-B5F4-06CD91C4DB47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8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82-43F5-B5F4-06CD91C4D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90776"/>
        <c:axId val="158388816"/>
      </c:areaChart>
      <c:catAx>
        <c:axId val="158390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PT"/>
          </a:p>
        </c:txPr>
        <c:crossAx val="15838881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5838881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5839077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230</c:v>
                </c:pt>
                <c:pt idx="1">
                  <c:v>230</c:v>
                </c:pt>
                <c:pt idx="2">
                  <c:v>265</c:v>
                </c:pt>
                <c:pt idx="3">
                  <c:v>265</c:v>
                </c:pt>
                <c:pt idx="4">
                  <c:v>265</c:v>
                </c:pt>
                <c:pt idx="5">
                  <c:v>265</c:v>
                </c:pt>
                <c:pt idx="6">
                  <c:v>311</c:v>
                </c:pt>
                <c:pt idx="7">
                  <c:v>311</c:v>
                </c:pt>
                <c:pt idx="8">
                  <c:v>401</c:v>
                </c:pt>
                <c:pt idx="9">
                  <c:v>456</c:v>
                </c:pt>
                <c:pt idx="10">
                  <c:v>476</c:v>
                </c:pt>
                <c:pt idx="11">
                  <c:v>476</c:v>
                </c:pt>
                <c:pt idx="12">
                  <c:v>476</c:v>
                </c:pt>
                <c:pt idx="13">
                  <c:v>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A-4B26-A1DE-49BCB98F26C8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125</c:v>
                </c:pt>
                <c:pt idx="1">
                  <c:v>125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179</c:v>
                </c:pt>
                <c:pt idx="7">
                  <c:v>185</c:v>
                </c:pt>
                <c:pt idx="8">
                  <c:v>120</c:v>
                </c:pt>
                <c:pt idx="9">
                  <c:v>80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7A-4B26-A1DE-49BCB98F26C8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175</c:v>
                </c:pt>
                <c:pt idx="1">
                  <c:v>175</c:v>
                </c:pt>
                <c:pt idx="2">
                  <c:v>115</c:v>
                </c:pt>
                <c:pt idx="3">
                  <c:v>115</c:v>
                </c:pt>
                <c:pt idx="4">
                  <c:v>115</c:v>
                </c:pt>
                <c:pt idx="5">
                  <c:v>85</c:v>
                </c:pt>
                <c:pt idx="6">
                  <c:v>40</c:v>
                </c:pt>
                <c:pt idx="7">
                  <c:v>40</c:v>
                </c:pt>
                <c:pt idx="8">
                  <c:v>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7A-4B26-A1DE-49BCB98F2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91168"/>
        <c:axId val="15839156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273</c:v>
                </c:pt>
                <c:pt idx="1">
                  <c:v>251</c:v>
                </c:pt>
                <c:pt idx="2">
                  <c:v>213</c:v>
                </c:pt>
                <c:pt idx="3">
                  <c:v>213</c:v>
                </c:pt>
                <c:pt idx="4">
                  <c:v>213</c:v>
                </c:pt>
                <c:pt idx="5">
                  <c:v>175</c:v>
                </c:pt>
                <c:pt idx="6">
                  <c:v>137</c:v>
                </c:pt>
                <c:pt idx="7">
                  <c:v>99</c:v>
                </c:pt>
                <c:pt idx="8">
                  <c:v>75</c:v>
                </c:pt>
                <c:pt idx="9">
                  <c:v>46</c:v>
                </c:pt>
                <c:pt idx="10">
                  <c:v>43</c:v>
                </c:pt>
                <c:pt idx="11">
                  <c:v>37</c:v>
                </c:pt>
                <c:pt idx="12">
                  <c:v>18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7A-4B26-A1DE-49BCB98F26C8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257</c:v>
                </c:pt>
                <c:pt idx="1">
                  <c:v>279</c:v>
                </c:pt>
                <c:pt idx="2">
                  <c:v>317</c:v>
                </c:pt>
                <c:pt idx="3">
                  <c:v>317</c:v>
                </c:pt>
                <c:pt idx="4">
                  <c:v>317</c:v>
                </c:pt>
                <c:pt idx="5">
                  <c:v>355</c:v>
                </c:pt>
                <c:pt idx="6">
                  <c:v>393</c:v>
                </c:pt>
                <c:pt idx="7">
                  <c:v>437</c:v>
                </c:pt>
                <c:pt idx="8">
                  <c:v>461</c:v>
                </c:pt>
                <c:pt idx="9">
                  <c:v>490</c:v>
                </c:pt>
                <c:pt idx="10">
                  <c:v>493</c:v>
                </c:pt>
                <c:pt idx="11">
                  <c:v>499</c:v>
                </c:pt>
                <c:pt idx="12">
                  <c:v>518</c:v>
                </c:pt>
                <c:pt idx="13">
                  <c:v>537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6A7A-4B26-A1DE-49BCB98F2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91168"/>
        <c:axId val="158391560"/>
      </c:lineChart>
      <c:catAx>
        <c:axId val="15839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PT"/>
          </a:p>
        </c:txPr>
        <c:crossAx val="15839156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583915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PT"/>
          </a:p>
        </c:txPr>
        <c:crossAx val="15839116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C4-4C6B-9090-4E4FDCA29510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C4-4C6B-9090-4E4FDCA29510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C4-4C6B-9090-4E4FDCA29510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C4-4C6B-9090-4E4FDCA29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392736"/>
        <c:axId val="222304040"/>
      </c:barChart>
      <c:catAx>
        <c:axId val="158392736"/>
        <c:scaling>
          <c:orientation val="minMax"/>
        </c:scaling>
        <c:delete val="0"/>
        <c:axPos val="b"/>
        <c:majorTickMark val="out"/>
        <c:minorTickMark val="none"/>
        <c:tickLblPos val="nextTo"/>
        <c:crossAx val="222304040"/>
        <c:crosses val="autoZero"/>
        <c:auto val="1"/>
        <c:lblAlgn val="ctr"/>
        <c:lblOffset val="100"/>
        <c:noMultiLvlLbl val="0"/>
      </c:catAx>
      <c:valAx>
        <c:axId val="2223040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58392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CEF-9BF1-0179BF5C12F8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CEF-9BF1-0179BF5C12F8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CEF-9BF1-0179BF5C12F8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CEF-9BF1-0179BF5C12F8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CEF-9BF1-0179BF5C12F8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CEF-9BF1-0179BF5C12F8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CEF-9BF1-0179BF5C12F8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CEF-9BF1-0179BF5C12F8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CEF-9BF1-0179BF5C12F8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CEF-9BF1-0179BF5C12F8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CEF-9BF1-0179BF5C12F8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336-4CEF-9BF1-0179BF5C12F8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336-4CEF-9BF1-0179BF5C12F8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336-4CEF-9BF1-0179BF5C12F8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336-4CEF-9BF1-0179BF5C12F8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336-4CEF-9BF1-0179BF5C1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300120"/>
        <c:axId val="222301296"/>
      </c:barChart>
      <c:catAx>
        <c:axId val="222300120"/>
        <c:scaling>
          <c:orientation val="minMax"/>
        </c:scaling>
        <c:delete val="0"/>
        <c:axPos val="b"/>
        <c:majorTickMark val="out"/>
        <c:minorTickMark val="none"/>
        <c:tickLblPos val="nextTo"/>
        <c:crossAx val="222301296"/>
        <c:crosses val="autoZero"/>
        <c:auto val="1"/>
        <c:lblAlgn val="ctr"/>
        <c:lblOffset val="100"/>
        <c:noMultiLvlLbl val="0"/>
      </c:catAx>
      <c:valAx>
        <c:axId val="2223012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22300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6F-440E-9436-3E6A959D5510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6F-440E-9436-3E6A959D5510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6F-440E-9436-3E6A959D5510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6F-440E-9436-3E6A959D5510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6F-440E-9436-3E6A959D5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298552"/>
        <c:axId val="222305216"/>
      </c:barChart>
      <c:catAx>
        <c:axId val="222298552"/>
        <c:scaling>
          <c:orientation val="minMax"/>
        </c:scaling>
        <c:delete val="0"/>
        <c:axPos val="b"/>
        <c:majorTickMark val="out"/>
        <c:minorTickMark val="none"/>
        <c:tickLblPos val="nextTo"/>
        <c:crossAx val="222305216"/>
        <c:crosses val="autoZero"/>
        <c:auto val="1"/>
        <c:lblAlgn val="ctr"/>
        <c:lblOffset val="100"/>
        <c:noMultiLvlLbl val="0"/>
      </c:catAx>
      <c:valAx>
        <c:axId val="2223052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22298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1174750</xdr:colOff>
          <xdr:row>1</xdr:row>
          <xdr:rowOff>12700</xdr:rowOff>
        </xdr:from>
        <xdr:to>
          <xdr:col>4</xdr:col>
          <xdr:colOff>2413000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12700</xdr:rowOff>
        </xdr:from>
        <xdr:to>
          <xdr:col>4</xdr:col>
          <xdr:colOff>1098550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>
          <a:extLst>
            <a:ext uri="{FF2B5EF4-FFF2-40B4-BE49-F238E27FC236}">
              <a16:creationId xmlns:a16="http://schemas.microsoft.com/office/drawing/2014/main" id="{00000000-0008-0000-0100-000080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>
          <a:extLst>
            <a:ext uri="{FF2B5EF4-FFF2-40B4-BE49-F238E27FC236}">
              <a16:creationId xmlns:a16="http://schemas.microsoft.com/office/drawing/2014/main" id="{00000000-0008-0000-0100-000081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E67"/>
  <sheetViews>
    <sheetView tabSelected="1" view="pageBreakPreview" zoomScale="88" zoomScaleNormal="100" zoomScaleSheetLayoutView="88" workbookViewId="0">
      <pane xSplit="8" ySplit="3" topLeftCell="R4" activePane="bottomRight" state="frozen"/>
      <selection pane="topRight" activeCell="F1" sqref="F1"/>
      <selection pane="bottomLeft" activeCell="A3" sqref="A3"/>
      <selection pane="bottomRight" activeCell="E6" sqref="E6"/>
    </sheetView>
  </sheetViews>
  <sheetFormatPr defaultColWidth="9.1796875" defaultRowHeight="12.5" outlineLevelCol="1" x14ac:dyDescent="0.25"/>
  <cols>
    <col min="1" max="1" width="12.1796875" style="6" customWidth="1"/>
    <col min="2" max="2" width="16.54296875" style="6" bestFit="1" customWidth="1"/>
    <col min="3" max="3" width="16.81640625" style="6" customWidth="1"/>
    <col min="4" max="4" width="8.81640625" style="6" customWidth="1"/>
    <col min="5" max="5" width="65.81640625" style="6" customWidth="1"/>
    <col min="6" max="6" width="9" style="6" bestFit="1" customWidth="1"/>
    <col min="7" max="7" width="7" style="6" customWidth="1"/>
    <col min="8" max="8" width="5.26953125" style="6" bestFit="1" customWidth="1"/>
    <col min="9" max="9" width="4.26953125" style="6" customWidth="1"/>
    <col min="10" max="11" width="3.26953125" style="149" customWidth="1"/>
    <col min="12" max="12" width="2.453125" style="6" customWidth="1"/>
    <col min="13" max="14" width="3.26953125" style="6" customWidth="1"/>
    <col min="15" max="15" width="2.453125" style="6" customWidth="1"/>
    <col min="16" max="17" width="3.26953125" style="6" customWidth="1"/>
    <col min="18" max="18" width="2.453125" style="6" customWidth="1"/>
    <col min="19" max="20" width="3.26953125" style="6" customWidth="1"/>
    <col min="21" max="21" width="2.453125" style="6" customWidth="1"/>
    <col min="22" max="23" width="3.26953125" style="6" customWidth="1"/>
    <col min="24" max="24" width="2.453125" style="6" customWidth="1"/>
    <col min="25" max="26" width="3.26953125" style="6" customWidth="1"/>
    <col min="27" max="27" width="2.453125" style="6" customWidth="1"/>
    <col min="28" max="29" width="3.26953125" style="6" customWidth="1"/>
    <col min="30" max="30" width="2.453125" style="6" customWidth="1"/>
    <col min="31" max="32" width="3.26953125" style="6" customWidth="1"/>
    <col min="33" max="33" width="2.453125" style="6" customWidth="1"/>
    <col min="34" max="35" width="3.26953125" style="6" customWidth="1"/>
    <col min="36" max="36" width="2.453125" style="6" customWidth="1"/>
    <col min="37" max="38" width="3.26953125" style="6" customWidth="1"/>
    <col min="39" max="39" width="2.453125" style="6" customWidth="1"/>
    <col min="40" max="41" width="3.26953125" style="6" customWidth="1"/>
    <col min="42" max="42" width="2.453125" style="6" customWidth="1"/>
    <col min="43" max="44" width="3.26953125" style="6" customWidth="1"/>
    <col min="45" max="45" width="2.453125" style="6" customWidth="1"/>
    <col min="46" max="47" width="3.26953125" style="6" customWidth="1"/>
    <col min="48" max="48" width="2.453125" style="6" customWidth="1"/>
    <col min="49" max="50" width="3.26953125" style="6" customWidth="1"/>
    <col min="51" max="51" width="2.453125" style="6" customWidth="1"/>
    <col min="52" max="53" width="3.26953125" style="6" hidden="1" customWidth="1" outlineLevel="1"/>
    <col min="54" max="54" width="2.453125" style="6" hidden="1" customWidth="1" outlineLevel="1"/>
    <col min="55" max="56" width="3.26953125" style="6" hidden="1" customWidth="1" outlineLevel="1"/>
    <col min="57" max="57" width="2.453125" style="6" hidden="1" customWidth="1" outlineLevel="1"/>
    <col min="58" max="59" width="3.26953125" style="6" hidden="1" customWidth="1" outlineLevel="1"/>
    <col min="60" max="60" width="2.453125" style="6" hidden="1" customWidth="1" outlineLevel="1"/>
    <col min="61" max="62" width="3.26953125" style="6" hidden="1" customWidth="1" outlineLevel="1"/>
    <col min="63" max="63" width="2.453125" style="6" hidden="1" customWidth="1" outlineLevel="1"/>
    <col min="64" max="65" width="3.26953125" style="6" hidden="1" customWidth="1" outlineLevel="1"/>
    <col min="66" max="66" width="2.453125" style="6" hidden="1" customWidth="1" outlineLevel="1"/>
    <col min="67" max="68" width="3.26953125" style="6" hidden="1" customWidth="1" outlineLevel="1"/>
    <col min="69" max="69" width="2.453125" style="6" hidden="1" customWidth="1" outlineLevel="1"/>
    <col min="70" max="71" width="3.26953125" style="6" hidden="1" customWidth="1" outlineLevel="1"/>
    <col min="72" max="72" width="2.453125" style="6" hidden="1" customWidth="1" outlineLevel="1"/>
    <col min="73" max="74" width="3.26953125" style="6" hidden="1" customWidth="1" outlineLevel="1"/>
    <col min="75" max="75" width="2.453125" style="6" hidden="1" customWidth="1" outlineLevel="1"/>
    <col min="76" max="77" width="3.26953125" style="6" hidden="1" customWidth="1" outlineLevel="1"/>
    <col min="78" max="78" width="2.453125" style="6" hidden="1" customWidth="1" outlineLevel="1"/>
    <col min="79" max="80" width="3.26953125" style="6" hidden="1" customWidth="1" outlineLevel="1"/>
    <col min="81" max="81" width="2.453125" style="6" hidden="1" customWidth="1" outlineLevel="1"/>
    <col min="82" max="82" width="2.453125" style="6" customWidth="1" collapsed="1"/>
    <col min="83" max="83" width="8.1796875" style="6" customWidth="1"/>
    <col min="84" max="16384" width="9.1796875" style="6"/>
  </cols>
  <sheetData>
    <row r="1" spans="1:83" x14ac:dyDescent="0.25">
      <c r="A1" s="1"/>
      <c r="B1" s="1"/>
      <c r="C1" s="1"/>
      <c r="D1" s="1"/>
      <c r="E1" s="2"/>
      <c r="F1" s="3" t="s">
        <v>23</v>
      </c>
      <c r="G1" s="4">
        <f>SprintStart</f>
        <v>45420</v>
      </c>
      <c r="H1" s="1"/>
      <c r="I1" s="1"/>
      <c r="J1" s="171">
        <f>SprintStart</f>
        <v>45420</v>
      </c>
      <c r="K1" s="171"/>
      <c r="L1" s="171"/>
      <c r="M1" s="171">
        <f>IF(AND(SkipWeekends, WEEKDAY(J1)=6),J1+3, J1+1)</f>
        <v>45421</v>
      </c>
      <c r="N1" s="171"/>
      <c r="O1" s="171"/>
      <c r="P1" s="171">
        <f>IF(AND(SkipWeekends, WEEKDAY(M1)=6),M1+3, M1+1)</f>
        <v>45422</v>
      </c>
      <c r="Q1" s="171"/>
      <c r="R1" s="171"/>
      <c r="S1" s="171">
        <f>IF(AND(SkipWeekends, WEEKDAY(P1)=6),P1+3, P1+1)</f>
        <v>45423</v>
      </c>
      <c r="T1" s="171"/>
      <c r="U1" s="171"/>
      <c r="V1" s="171">
        <f>IF(AND(SkipWeekends, WEEKDAY(S1)=6),S1+3, S1+1)</f>
        <v>45424</v>
      </c>
      <c r="W1" s="171"/>
      <c r="X1" s="171"/>
      <c r="Y1" s="171">
        <f>IF(AND(SkipWeekends, WEEKDAY(V1)=6),V1+3, V1+1)</f>
        <v>45425</v>
      </c>
      <c r="Z1" s="171"/>
      <c r="AA1" s="171"/>
      <c r="AB1" s="171">
        <f>IF(AND(SkipWeekends, WEEKDAY(Y1)=6),Y1+3, Y1+1)</f>
        <v>45426</v>
      </c>
      <c r="AC1" s="171"/>
      <c r="AD1" s="171"/>
      <c r="AE1" s="171">
        <f>IF(AND(SkipWeekends, WEEKDAY(AB1)=6),AB1+3, AB1+1)</f>
        <v>45427</v>
      </c>
      <c r="AF1" s="171"/>
      <c r="AG1" s="171"/>
      <c r="AH1" s="171">
        <f>IF(AND(SkipWeekends, WEEKDAY(AE1)=6),AE1+3, AE1+1)</f>
        <v>45428</v>
      </c>
      <c r="AI1" s="171"/>
      <c r="AJ1" s="171"/>
      <c r="AK1" s="171">
        <f>IF(AND(SkipWeekends, WEEKDAY(AH1)=6),AH1+3, AH1+1)</f>
        <v>45429</v>
      </c>
      <c r="AL1" s="171"/>
      <c r="AM1" s="171"/>
      <c r="AN1" s="171">
        <f>IF(AND(SkipWeekends, WEEKDAY(AK1)=6),AK1+3, AK1+1)</f>
        <v>45430</v>
      </c>
      <c r="AO1" s="171"/>
      <c r="AP1" s="171"/>
      <c r="AQ1" s="171">
        <f>IF(AND(SkipWeekends, WEEKDAY(AN1)=6),AN1+3, AN1+1)</f>
        <v>45431</v>
      </c>
      <c r="AR1" s="171"/>
      <c r="AS1" s="171"/>
      <c r="AT1" s="171">
        <f>IF(AND(SkipWeekends, WEEKDAY(AQ1)=6),AQ1+3, AQ1+1)</f>
        <v>45432</v>
      </c>
      <c r="AU1" s="171"/>
      <c r="AV1" s="171"/>
      <c r="AW1" s="171">
        <f>IF(AND(SkipWeekends, WEEKDAY(AT1)=6),AT1+3, AT1+1)</f>
        <v>45433</v>
      </c>
      <c r="AX1" s="171"/>
      <c r="AY1" s="171"/>
      <c r="AZ1" s="171" t="e">
        <f>IF(AND(SkipWeekends, WEEKDAY(#REF!)=6),#REF!+3,#REF!+ 1)</f>
        <v>#REF!</v>
      </c>
      <c r="BA1" s="171"/>
      <c r="BB1" s="171"/>
      <c r="BC1" s="171" t="e">
        <f>IF(AND(SkipWeekends, WEEKDAY(AZ1)=6),AZ1+3, AZ1+1)</f>
        <v>#REF!</v>
      </c>
      <c r="BD1" s="171"/>
      <c r="BE1" s="171"/>
      <c r="BF1" s="171" t="e">
        <f>IF(AND(SkipWeekends, WEEKDAY(BC1)=6),BC1+3, BC1+1)</f>
        <v>#REF!</v>
      </c>
      <c r="BG1" s="171"/>
      <c r="BH1" s="171"/>
      <c r="BI1" s="171" t="e">
        <f>IF(AND(SkipWeekends, WEEKDAY(BF1)=6),BF1+3, BF1+1)</f>
        <v>#REF!</v>
      </c>
      <c r="BJ1" s="171"/>
      <c r="BK1" s="171"/>
      <c r="BL1" s="171" t="e">
        <f>IF(AND(SkipWeekends, WEEKDAY(BI1)=6),BI1+3, BI1+1)</f>
        <v>#REF!</v>
      </c>
      <c r="BM1" s="171"/>
      <c r="BN1" s="171"/>
      <c r="BO1" s="171" t="e">
        <f>IF(AND(SkipWeekends, WEEKDAY(BL1)=6),BL1+3, BL1+1)</f>
        <v>#REF!</v>
      </c>
      <c r="BP1" s="171"/>
      <c r="BQ1" s="171"/>
      <c r="BR1" s="171" t="e">
        <f>IF(AND(SkipWeekends, WEEKDAY(BO1)=6),BO1+3, BO1+1)</f>
        <v>#REF!</v>
      </c>
      <c r="BS1" s="171"/>
      <c r="BT1" s="171"/>
      <c r="BU1" s="171" t="e">
        <f>IF(AND(SkipWeekends, WEEKDAY(BR1)=6),BR1+3, BR1+1)</f>
        <v>#REF!</v>
      </c>
      <c r="BV1" s="171"/>
      <c r="BW1" s="171"/>
      <c r="BX1" s="171" t="e">
        <f>IF(AND(SkipWeekends, WEEKDAY(BU1)=6),BU1+3, BU1+1)</f>
        <v>#REF!</v>
      </c>
      <c r="BY1" s="171"/>
      <c r="BZ1" s="171"/>
      <c r="CA1" s="171" t="e">
        <f>IF(AND(SkipWeekends, WEEKDAY(BX1)=6),BX1+3, BX1+1)</f>
        <v>#REF!</v>
      </c>
      <c r="CB1" s="171"/>
      <c r="CC1" s="171"/>
      <c r="CD1" s="5"/>
      <c r="CE1" s="1"/>
    </row>
    <row r="2" spans="1:83" x14ac:dyDescent="0.25">
      <c r="A2" s="1"/>
      <c r="B2" s="1"/>
      <c r="C2" s="1"/>
      <c r="D2" s="1"/>
      <c r="E2" s="7"/>
      <c r="F2" s="8"/>
      <c r="G2" s="9"/>
      <c r="H2" s="1"/>
      <c r="I2" s="1"/>
      <c r="J2" s="144"/>
      <c r="K2" s="144" t="s">
        <v>57</v>
      </c>
      <c r="L2" s="10"/>
      <c r="M2" s="10"/>
      <c r="N2" s="10" t="s">
        <v>58</v>
      </c>
      <c r="O2" s="10"/>
      <c r="P2" s="10"/>
      <c r="Q2" s="10" t="s">
        <v>59</v>
      </c>
      <c r="R2" s="10"/>
      <c r="S2" s="10"/>
      <c r="T2" s="10" t="s">
        <v>60</v>
      </c>
      <c r="U2" s="10"/>
      <c r="V2" s="10"/>
      <c r="W2" s="10" t="s">
        <v>61</v>
      </c>
      <c r="X2" s="10"/>
      <c r="Y2" s="10"/>
      <c r="Z2" s="10" t="s">
        <v>62</v>
      </c>
      <c r="AA2" s="10"/>
      <c r="AB2" s="10"/>
      <c r="AC2" s="10" t="s">
        <v>63</v>
      </c>
      <c r="AD2" s="10"/>
      <c r="AE2" s="10"/>
      <c r="AF2" s="10" t="s">
        <v>64</v>
      </c>
      <c r="AG2" s="10"/>
      <c r="AH2" s="10"/>
      <c r="AI2" s="10" t="s">
        <v>65</v>
      </c>
      <c r="AJ2" s="10"/>
      <c r="AK2" s="10"/>
      <c r="AL2" s="10" t="s">
        <v>66</v>
      </c>
      <c r="AM2" s="10"/>
      <c r="AN2" s="10"/>
      <c r="AO2" s="10" t="s">
        <v>67</v>
      </c>
      <c r="AP2" s="10"/>
      <c r="AQ2" s="10"/>
      <c r="AR2" s="10" t="s">
        <v>68</v>
      </c>
      <c r="AS2" s="10"/>
      <c r="AT2" s="10"/>
      <c r="AU2" s="10" t="s">
        <v>69</v>
      </c>
      <c r="AV2" s="10"/>
      <c r="AW2" s="10"/>
      <c r="AX2" s="10" t="s">
        <v>70</v>
      </c>
      <c r="AY2" s="10"/>
      <c r="AZ2" s="10"/>
      <c r="BA2" s="10" t="s">
        <v>71</v>
      </c>
      <c r="BB2" s="10"/>
      <c r="BC2" s="10"/>
      <c r="BD2" s="10" t="s">
        <v>72</v>
      </c>
      <c r="BE2" s="10"/>
      <c r="BF2" s="10"/>
      <c r="BG2" s="10" t="s">
        <v>73</v>
      </c>
      <c r="BH2" s="10"/>
      <c r="BI2" s="10"/>
      <c r="BJ2" s="10" t="s">
        <v>74</v>
      </c>
      <c r="BK2" s="10"/>
      <c r="BL2" s="10"/>
      <c r="BM2" s="10" t="s">
        <v>75</v>
      </c>
      <c r="BN2" s="10"/>
      <c r="BO2" s="10"/>
      <c r="BP2" s="10" t="s">
        <v>76</v>
      </c>
      <c r="BQ2" s="10"/>
      <c r="BR2" s="10"/>
      <c r="BS2" s="10" t="s">
        <v>77</v>
      </c>
      <c r="BT2" s="10"/>
      <c r="BU2" s="10"/>
      <c r="BV2" s="10" t="s">
        <v>78</v>
      </c>
      <c r="BW2" s="10"/>
      <c r="BX2" s="10"/>
      <c r="BY2" s="10" t="s">
        <v>79</v>
      </c>
      <c r="BZ2" s="10"/>
      <c r="CA2" s="10"/>
      <c r="CB2" s="10" t="s">
        <v>80</v>
      </c>
      <c r="CC2" s="10"/>
      <c r="CD2" s="5"/>
      <c r="CE2" s="1"/>
    </row>
    <row r="3" spans="1:83" ht="38.25" customHeight="1" x14ac:dyDescent="0.25">
      <c r="A3" s="11" t="s">
        <v>101</v>
      </c>
      <c r="B3" s="11" t="s">
        <v>102</v>
      </c>
      <c r="C3" s="11" t="s">
        <v>81</v>
      </c>
      <c r="D3" s="11" t="s">
        <v>82</v>
      </c>
      <c r="E3" s="1" t="s">
        <v>83</v>
      </c>
      <c r="F3" s="1" t="s">
        <v>92</v>
      </c>
      <c r="G3" s="1" t="s">
        <v>0</v>
      </c>
      <c r="H3" s="12" t="s">
        <v>1</v>
      </c>
      <c r="I3" s="12" t="s">
        <v>84</v>
      </c>
      <c r="J3" s="145" t="s">
        <v>12</v>
      </c>
      <c r="K3" s="146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5">
      <c r="A4" s="16" t="s">
        <v>104</v>
      </c>
      <c r="B4" s="16" t="s">
        <v>123</v>
      </c>
      <c r="C4" s="16" t="s">
        <v>137</v>
      </c>
      <c r="D4" s="17" t="s">
        <v>133</v>
      </c>
      <c r="E4" s="164" t="s">
        <v>150</v>
      </c>
      <c r="F4" s="18" t="s">
        <v>138</v>
      </c>
      <c r="G4" s="19" t="e">
        <f t="shared" ref="G4:G61" ca="1" si="0">(INDEX(Burndown,ROW(G4)-ROW(G$3),MIN(TODAY()-SprintStart,29)*3+3))</f>
        <v>#REF!</v>
      </c>
      <c r="H4" s="20">
        <v>1</v>
      </c>
      <c r="I4" s="21">
        <v>20</v>
      </c>
      <c r="J4" s="22">
        <v>8</v>
      </c>
      <c r="K4" s="22">
        <f t="shared" ref="K4" si="1">MAX(I4-J4, 0)</f>
        <v>12</v>
      </c>
      <c r="L4" s="23" t="str">
        <f>IF(SUMPRODUCT($J$64:K$64,$J4:K4)&lt;0.5, "Pending", IF(K4&lt;0.5, "Complete", "In Progress"))</f>
        <v>In Progress</v>
      </c>
      <c r="M4" s="22">
        <v>8</v>
      </c>
      <c r="N4" s="22">
        <f t="shared" ref="N4" si="2">MAX(K4-M4,0)</f>
        <v>4</v>
      </c>
      <c r="O4" s="23" t="str">
        <f>IF(SUMPRODUCT($J$64:N$64,$J4:N4)&lt;0.5, "Pending", IF(N4&lt;0.5, "Complete", "In Progress"))</f>
        <v>In Progress</v>
      </c>
      <c r="P4" s="22">
        <v>4</v>
      </c>
      <c r="Q4" s="22">
        <f t="shared" ref="Q4" si="3">MAX(N4-P4,0)</f>
        <v>0</v>
      </c>
      <c r="R4" s="23" t="str">
        <f>IF(SUMPRODUCT($J$64:Q$64,$J4:Q4)&lt;0.5,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IF(SUMPRODUCT($J$64:T$64,$J4:T4)&lt;0.5,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IF(SUMPRODUCT($J$64:W$64,$J4:W4)&lt;0.5,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IF(SUMPRODUCT($J$64:Z$64,$J4:Z4)&lt;0.5,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IF(SUMPRODUCT($J$64:AC$64,$J4:AC4)&lt;0.5,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IF(SUMPRODUCT($J$64:AF$64,$J4:AF4)&lt;0.5,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IF(SUMPRODUCT($J$64:AI$64,$J4:AI4)&lt;0.5,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IF(SUMPRODUCT($J$64:AL$64,$J4:AL4)&lt;0.5,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IF(SUMPRODUCT($J$64:AO$64,$J4:AO4)&lt;0.5,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IF(SUMPRODUCT($J$64:AR$64,$J4:AR4)&lt;0.5,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IF(SUMPRODUCT($J$64:AU$64,$J4:AU4)&lt;0.5,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IF(SUMPRODUCT($J$64:AX$64,$J4:AX4)&lt;0.5,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20</v>
      </c>
    </row>
    <row r="5" spans="1:83" x14ac:dyDescent="0.25">
      <c r="A5" s="16" t="s">
        <v>104</v>
      </c>
      <c r="B5" s="16" t="s">
        <v>123</v>
      </c>
      <c r="C5" s="16" t="s">
        <v>137</v>
      </c>
      <c r="D5" s="17" t="s">
        <v>134</v>
      </c>
      <c r="E5" s="164" t="s">
        <v>151</v>
      </c>
      <c r="F5" s="18" t="s">
        <v>139</v>
      </c>
      <c r="G5" s="19" t="e">
        <f t="shared" ca="1" si="0"/>
        <v>#REF!</v>
      </c>
      <c r="H5" s="20">
        <v>1</v>
      </c>
      <c r="I5" s="21">
        <v>20</v>
      </c>
      <c r="J5" s="22">
        <v>0</v>
      </c>
      <c r="K5" s="22">
        <f t="shared" ref="K5:K60" si="24">MAX(I5-J5, 0)</f>
        <v>20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ref="N5:N60" si="25">MAX(K5-M5,0)</f>
        <v>20</v>
      </c>
      <c r="O5" s="23" t="str">
        <f>IF(SUMPRODUCT($J$64:N$64,$J5:N5)&lt;0.5, "Pending", IF(N5&lt;0.5, "Complete", "In Progress"))</f>
        <v>Pending</v>
      </c>
      <c r="P5" s="22">
        <v>8</v>
      </c>
      <c r="Q5" s="22">
        <f t="shared" ref="Q5:Q60" si="26">MAX(N5-P5,0)</f>
        <v>12</v>
      </c>
      <c r="R5" s="23" t="str">
        <f>IF(SUMPRODUCT($J$64:Q$64,$J5:Q5)&lt;0.5, "Pending", IF(Q5&lt;0.5, "Complete", "In Progress"))</f>
        <v>In Progress</v>
      </c>
      <c r="S5" s="22">
        <v>0</v>
      </c>
      <c r="T5" s="22">
        <f t="shared" ref="T5:T60" si="27">MAX(Q5-S5,0)</f>
        <v>12</v>
      </c>
      <c r="U5" s="23" t="str">
        <f>IF(SUMPRODUCT($J$64:T$64,$J5:T5)&lt;0.5, "Pending", IF(T5&lt;0.5, "Complete", "In Progress"))</f>
        <v>In Progress</v>
      </c>
      <c r="V5" s="22">
        <v>0</v>
      </c>
      <c r="W5" s="22">
        <f t="shared" ref="W5:W60" si="28">MAX(T5-V5,0)</f>
        <v>12</v>
      </c>
      <c r="X5" s="23" t="str">
        <f>IF(SUMPRODUCT($J$64:W$64,$J5:W5)&lt;0.5, "Pending", IF(W5&lt;0.5, "Complete", "In Progress"))</f>
        <v>In Progress</v>
      </c>
      <c r="Y5" s="22">
        <v>8</v>
      </c>
      <c r="Z5" s="22">
        <f t="shared" ref="Z5:Z60" si="29">MAX(W5-Y5,0)</f>
        <v>4</v>
      </c>
      <c r="AA5" s="23" t="str">
        <f>IF(SUMPRODUCT($J$64:Z$64,$J5:Z5)&lt;0.5, "Pending", IF(Z5&lt;0.5, "Complete", "In Progress"))</f>
        <v>In Progress</v>
      </c>
      <c r="AB5" s="22">
        <v>4</v>
      </c>
      <c r="AC5" s="22">
        <f t="shared" ref="AC5:AC60" si="30">MAX(Z5-AB5,0)</f>
        <v>0</v>
      </c>
      <c r="AD5" s="23" t="str">
        <f>IF(SUMPRODUCT($J$64:AC$64,$J5:AC5)&lt;0.5, "Pending", IF(AC5&lt;0.5, "Complete", "In Progress"))</f>
        <v>Complete</v>
      </c>
      <c r="AE5" s="22">
        <v>6</v>
      </c>
      <c r="AF5" s="22">
        <f t="shared" ref="AF5:AF60" si="31">MAX(AC5-AE5,0)</f>
        <v>0</v>
      </c>
      <c r="AG5" s="23" t="str">
        <f>IF(SUMPRODUCT($J$64:AF$64,$J5:AF5)&lt;0.5, "Pending", IF(AF5&lt;0.5, "Complete", "In Progress"))</f>
        <v>Complete</v>
      </c>
      <c r="AH5" s="22">
        <v>0</v>
      </c>
      <c r="AI5" s="22">
        <f t="shared" ref="AI5:AI60" si="32">MAX(AF5-AH5,0)</f>
        <v>0</v>
      </c>
      <c r="AJ5" s="23" t="str">
        <f>IF(SUMPRODUCT($J$64:AI$64,$J5:AI5)&lt;0.5, "Pending", IF(AI5&lt;0.5, "Complete", "In Progress"))</f>
        <v>Complete</v>
      </c>
      <c r="AK5" s="22">
        <v>0</v>
      </c>
      <c r="AL5" s="22">
        <f t="shared" ref="AL5:AL60" si="33">MAX(AI5-AK5,0)</f>
        <v>0</v>
      </c>
      <c r="AM5" s="23" t="str">
        <f>IF(SUMPRODUCT($J$64:AL$64,$J5:AL5)&lt;0.5, "Pending", IF(AL5&lt;0.5, "Complete", "In Progress"))</f>
        <v>Complete</v>
      </c>
      <c r="AN5" s="22">
        <v>0</v>
      </c>
      <c r="AO5" s="22">
        <f t="shared" ref="AO5:AO60" si="34">MAX(AL5-AN5,0)</f>
        <v>0</v>
      </c>
      <c r="AP5" s="23" t="str">
        <f>IF(SUMPRODUCT($J$64:AO$64,$J5:AO5)&lt;0.5, "Pending", IF(AO5&lt;0.5, "Complete", "In Progress"))</f>
        <v>Complete</v>
      </c>
      <c r="AQ5" s="22">
        <v>0</v>
      </c>
      <c r="AR5" s="22">
        <f t="shared" ref="AR5:AR60" si="35">MAX(AO5-AQ5,0)</f>
        <v>0</v>
      </c>
      <c r="AS5" s="23" t="str">
        <f>IF(SUMPRODUCT($J$64:AR$64,$J5:AR5)&lt;0.5, "Pending", IF(AR5&lt;0.5, "Complete", "In Progress"))</f>
        <v>Complete</v>
      </c>
      <c r="AT5" s="22">
        <v>0</v>
      </c>
      <c r="AU5" s="22">
        <f t="shared" ref="AU5:AU60" si="36">MAX(AR5-AT5,0)</f>
        <v>0</v>
      </c>
      <c r="AV5" s="23" t="str">
        <f>IF(SUMPRODUCT($J$64:AU$64,$J5:AU5)&lt;0.5, "Pending", IF(AU5&lt;0.5, "Complete", "In Progress"))</f>
        <v>Complete</v>
      </c>
      <c r="AW5" s="22">
        <v>0</v>
      </c>
      <c r="AX5" s="22">
        <f t="shared" ref="AX5:AX60" si="37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26</v>
      </c>
    </row>
    <row r="6" spans="1:83" x14ac:dyDescent="0.25">
      <c r="A6" s="16" t="s">
        <v>104</v>
      </c>
      <c r="B6" s="16" t="s">
        <v>123</v>
      </c>
      <c r="C6" s="16" t="s">
        <v>137</v>
      </c>
      <c r="D6" s="17" t="s">
        <v>135</v>
      </c>
      <c r="E6" s="164" t="s">
        <v>171</v>
      </c>
      <c r="F6" s="18" t="s">
        <v>140</v>
      </c>
      <c r="G6" s="19" t="e">
        <f t="shared" ca="1" si="0"/>
        <v>#REF!</v>
      </c>
      <c r="H6" s="20">
        <v>1</v>
      </c>
      <c r="I6" s="21">
        <v>20</v>
      </c>
      <c r="J6" s="22">
        <v>0</v>
      </c>
      <c r="K6" s="22">
        <f t="shared" si="24"/>
        <v>20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20</v>
      </c>
      <c r="O6" s="23" t="str">
        <f>IF(SUMPRODUCT($J$64:N$64,$J6:N6)&lt;0.5, "Pending", IF(N6&lt;0.5, "Complete", "In Progress"))</f>
        <v>Pending</v>
      </c>
      <c r="P6" s="22">
        <v>8</v>
      </c>
      <c r="Q6" s="22">
        <f t="shared" si="26"/>
        <v>12</v>
      </c>
      <c r="R6" s="23" t="str">
        <f>IF(SUMPRODUCT($J$64:Q$64,$J6:Q6)&lt;0.5, "Pending", IF(Q6&lt;0.5, "Complete", "In Progress"))</f>
        <v>In Progress</v>
      </c>
      <c r="S6" s="22">
        <v>0</v>
      </c>
      <c r="T6" s="22">
        <f t="shared" si="27"/>
        <v>12</v>
      </c>
      <c r="U6" s="23" t="str">
        <f>IF(SUMPRODUCT($J$64:T$64,$J6:T6)&lt;0.5, "Pending", IF(T6&lt;0.5, "Complete", "In Progress"))</f>
        <v>In Progress</v>
      </c>
      <c r="V6" s="22">
        <v>0</v>
      </c>
      <c r="W6" s="22">
        <f t="shared" si="28"/>
        <v>12</v>
      </c>
      <c r="X6" s="23" t="str">
        <f>IF(SUMPRODUCT($J$64:W$64,$J6:W6)&lt;0.5, "Pending", IF(W6&lt;0.5, "Complete", "In Progress"))</f>
        <v>In Progress</v>
      </c>
      <c r="Y6" s="22">
        <v>8</v>
      </c>
      <c r="Z6" s="22">
        <f t="shared" si="29"/>
        <v>4</v>
      </c>
      <c r="AA6" s="23" t="str">
        <f>IF(SUMPRODUCT($J$64:Z$64,$J6:Z6)&lt;0.5, "Pending", IF(Z6&lt;0.5, "Complete", "In Progress"))</f>
        <v>In Progress</v>
      </c>
      <c r="AB6" s="22">
        <v>4</v>
      </c>
      <c r="AC6" s="22">
        <f t="shared" si="30"/>
        <v>0</v>
      </c>
      <c r="AD6" s="23" t="str">
        <f>IF(SUMPRODUCT($J$64:AC$64,$J6:AC6)&lt;0.5, "Pending", IF(AC6&lt;0.5, "Complete", "In Progress"))</f>
        <v>Complete</v>
      </c>
      <c r="AE6" s="22">
        <v>0</v>
      </c>
      <c r="AF6" s="22">
        <f t="shared" si="31"/>
        <v>0</v>
      </c>
      <c r="AG6" s="23" t="str">
        <f>IF(SUMPRODUCT($J$64:AF$64,$J6:AF6)&lt;0.5, "Pending", IF(AF6&lt;0.5, "Complete", "In Progress"))</f>
        <v>Complete</v>
      </c>
      <c r="AH6" s="22">
        <v>0</v>
      </c>
      <c r="AI6" s="22">
        <f t="shared" si="32"/>
        <v>0</v>
      </c>
      <c r="AJ6" s="23" t="str">
        <f>IF(SUMPRODUCT($J$64:AI$64,$J6:AI6)&lt;0.5, "Pending", IF(AI6&lt;0.5, "Complete", "In Progress"))</f>
        <v>Complete</v>
      </c>
      <c r="AK6" s="22">
        <v>0</v>
      </c>
      <c r="AL6" s="22">
        <f t="shared" si="33"/>
        <v>0</v>
      </c>
      <c r="AM6" s="23" t="str">
        <f>IF(SUMPRODUCT($J$64:AL$64,$J6:AL6)&lt;0.5, "Pending", IF(AL6&lt;0.5, "Complete", "In Progress"))</f>
        <v>Complete</v>
      </c>
      <c r="AN6" s="22">
        <v>0</v>
      </c>
      <c r="AO6" s="22">
        <f t="shared" si="34"/>
        <v>0</v>
      </c>
      <c r="AP6" s="23" t="str">
        <f>IF(SUMPRODUCT($J$64:AO$64,$J6:AO6)&lt;0.5, "Pending", IF(AO6&lt;0.5, "Complete", "In Progress"))</f>
        <v>Complete</v>
      </c>
      <c r="AQ6" s="22">
        <v>0</v>
      </c>
      <c r="AR6" s="22">
        <f t="shared" si="35"/>
        <v>0</v>
      </c>
      <c r="AS6" s="23" t="str">
        <f>IF(SUMPRODUCT($J$64:AR$64,$J6:AR6)&lt;0.5, "Pending", IF(AR6&lt;0.5, "Complete", "In Progress"))</f>
        <v>Complete</v>
      </c>
      <c r="AT6" s="22">
        <v>0</v>
      </c>
      <c r="AU6" s="22">
        <f t="shared" si="36"/>
        <v>0</v>
      </c>
      <c r="AV6" s="23" t="str">
        <f>IF(SUMPRODUCT($J$64:AU$64,$J6:AU6)&lt;0.5, "Pending", IF(AU6&lt;0.5, "Complete", "In Progress"))</f>
        <v>Complete</v>
      </c>
      <c r="AW6" s="22">
        <v>0</v>
      </c>
      <c r="AX6" s="22">
        <f t="shared" si="37"/>
        <v>0</v>
      </c>
      <c r="AY6" s="23" t="str">
        <f>IF(SUMPRODUCT($J$64:AX$64,$J6:AX6)&lt;0.5,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20</v>
      </c>
    </row>
    <row r="7" spans="1:83" x14ac:dyDescent="0.25">
      <c r="A7" s="16" t="s">
        <v>104</v>
      </c>
      <c r="B7" s="16" t="s">
        <v>109</v>
      </c>
      <c r="C7" s="16" t="s">
        <v>137</v>
      </c>
      <c r="D7" s="17" t="s">
        <v>136</v>
      </c>
      <c r="E7" s="164" t="s">
        <v>152</v>
      </c>
      <c r="F7" s="18" t="s">
        <v>169</v>
      </c>
      <c r="G7" s="19" t="e">
        <f t="shared" ca="1" si="0"/>
        <v>#REF!</v>
      </c>
      <c r="H7" s="20">
        <v>1</v>
      </c>
      <c r="I7" s="21">
        <v>15</v>
      </c>
      <c r="J7" s="22">
        <v>6</v>
      </c>
      <c r="K7" s="22">
        <f t="shared" si="24"/>
        <v>9</v>
      </c>
      <c r="L7" s="23" t="str">
        <f>IF(SUMPRODUCT($J$64:K$64,$J7:K7)&lt;0.5, "Pending", IF(K7&lt;0.5, "Complete", "In Progress"))</f>
        <v>In Progress</v>
      </c>
      <c r="M7" s="22">
        <v>6</v>
      </c>
      <c r="N7" s="22">
        <f t="shared" si="25"/>
        <v>3</v>
      </c>
      <c r="O7" s="23" t="str">
        <f>IF(SUMPRODUCT($J$64:N$64,$J7:N7)&lt;0.5, "Pending", IF(N7&lt;0.5, "Complete", "In Progress"))</f>
        <v>In Progress</v>
      </c>
      <c r="P7" s="22">
        <v>3</v>
      </c>
      <c r="Q7" s="22">
        <f t="shared" si="26"/>
        <v>0</v>
      </c>
      <c r="R7" s="23" t="str">
        <f>IF(SUMPRODUCT($J$64:Q$64,$J7:Q7)&lt;0.5, "Pending", IF(Q7&lt;0.5, "Complete", "In Progress"))</f>
        <v>Complete</v>
      </c>
      <c r="S7" s="22">
        <v>0</v>
      </c>
      <c r="T7" s="22">
        <f t="shared" si="27"/>
        <v>0</v>
      </c>
      <c r="U7" s="23" t="str">
        <f>IF(SUMPRODUCT($J$64:T$64,$J7:T7)&lt;0.5,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IF(SUMPRODUCT($J$64:W$64,$J7:W7)&lt;0.5,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IF(SUMPRODUCT($J$64:Z$64,$J7:Z7)&lt;0.5,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IF(SUMPRODUCT($J$64:AC$64,$J7:AC7)&lt;0.5,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IF(SUMPRODUCT($J$64:AF$64,$J7:AF7)&lt;0.5,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IF(SUMPRODUCT($J$64:AI$64,$J7:AI7)&lt;0.5,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IF(SUMPRODUCT($J$64:AL$64,$J7:AL7)&lt;0.5,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IF(SUMPRODUCT($J$64:AO$64,$J7:AO7)&lt;0.5,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IF(SUMPRODUCT($J$64:AR$64,$J7:AR7)&lt;0.5,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IF(SUMPRODUCT($J$64:AU$64,$J7:AU7)&lt;0.5,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IF(SUMPRODUCT($J$64:AX$64,$J7:AX7)&lt;0.5,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15</v>
      </c>
    </row>
    <row r="8" spans="1:83" x14ac:dyDescent="0.25">
      <c r="A8" s="16" t="s">
        <v>104</v>
      </c>
      <c r="B8" s="16" t="s">
        <v>111</v>
      </c>
      <c r="C8" s="16" t="s">
        <v>137</v>
      </c>
      <c r="D8" s="17" t="s">
        <v>159</v>
      </c>
      <c r="E8" s="164" t="s">
        <v>153</v>
      </c>
      <c r="F8" s="18" t="s">
        <v>138</v>
      </c>
      <c r="G8" s="19" t="e">
        <f t="shared" ca="1" si="0"/>
        <v>#REF!</v>
      </c>
      <c r="H8" s="20">
        <v>1</v>
      </c>
      <c r="I8" s="21">
        <v>40</v>
      </c>
      <c r="J8" s="22">
        <v>5</v>
      </c>
      <c r="K8" s="22">
        <f t="shared" si="24"/>
        <v>35</v>
      </c>
      <c r="L8" s="23" t="str">
        <f>IF(SUMPRODUCT($J$64:K$64,$J8:K8)&lt;0.5, "Pending", IF(K8&lt;0.5, "Complete", "In Progress"))</f>
        <v>In Progress</v>
      </c>
      <c r="M8" s="22">
        <v>0</v>
      </c>
      <c r="N8" s="22">
        <f t="shared" si="25"/>
        <v>35</v>
      </c>
      <c r="O8" s="23" t="str">
        <f>IF(SUMPRODUCT($J$64:N$64,$J8:N8)&lt;0.5, "Pending", IF(N8&lt;0.5, "Complete", "In Progress"))</f>
        <v>In Progress</v>
      </c>
      <c r="P8" s="22">
        <v>4</v>
      </c>
      <c r="Q8" s="22">
        <f t="shared" si="26"/>
        <v>31</v>
      </c>
      <c r="R8" s="23" t="str">
        <f>IF(SUMPRODUCT($J$64:Q$64,$J8:Q8)&lt;0.5, "Pending", IF(Q8&lt;0.5, "Complete", "In Progress"))</f>
        <v>In Progress</v>
      </c>
      <c r="S8" s="22">
        <v>0</v>
      </c>
      <c r="T8" s="22">
        <f t="shared" si="27"/>
        <v>31</v>
      </c>
      <c r="U8" s="23" t="str">
        <f>IF(SUMPRODUCT($J$64:T$64,$J8:T8)&lt;0.5, "Pending", IF(T8&lt;0.5, "Complete", "In Progress"))</f>
        <v>In Progress</v>
      </c>
      <c r="V8" s="22">
        <v>0</v>
      </c>
      <c r="W8" s="22">
        <f t="shared" si="28"/>
        <v>31</v>
      </c>
      <c r="X8" s="23" t="str">
        <f>IF(SUMPRODUCT($J$64:W$64,$J8:W8)&lt;0.5, "Pending", IF(W8&lt;0.5, "Complete", "In Progress"))</f>
        <v>In Progress</v>
      </c>
      <c r="Y8" s="22">
        <v>8</v>
      </c>
      <c r="Z8" s="22">
        <f t="shared" si="29"/>
        <v>23</v>
      </c>
      <c r="AA8" s="23" t="str">
        <f>IF(SUMPRODUCT($J$64:Z$64,$J8:Z8)&lt;0.5, "Pending", IF(Z8&lt;0.5, "Complete", "In Progress"))</f>
        <v>In Progress</v>
      </c>
      <c r="AB8" s="22">
        <v>8</v>
      </c>
      <c r="AC8" s="22">
        <f t="shared" si="30"/>
        <v>15</v>
      </c>
      <c r="AD8" s="23" t="str">
        <f>IF(SUMPRODUCT($J$64:AC$64,$J8:AC8)&lt;0.5, "Pending", IF(AC8&lt;0.5, "Complete", "In Progress"))</f>
        <v>In Progress</v>
      </c>
      <c r="AE8" s="22">
        <v>8</v>
      </c>
      <c r="AF8" s="22">
        <f t="shared" si="31"/>
        <v>7</v>
      </c>
      <c r="AG8" s="23" t="str">
        <f>IF(SUMPRODUCT($J$64:AF$64,$J8:AF8)&lt;0.5, "Pending", IF(AF8&lt;0.5, "Complete", "In Progress"))</f>
        <v>In Progress</v>
      </c>
      <c r="AH8" s="22">
        <v>7</v>
      </c>
      <c r="AI8" s="22">
        <f t="shared" si="32"/>
        <v>0</v>
      </c>
      <c r="AJ8" s="23" t="str">
        <f>IF(SUMPRODUCT($J$64:AI$64,$J8:AI8)&lt;0.5, "Pending", IF(AI8&lt;0.5, "Complete", "In Progress"))</f>
        <v>Complete</v>
      </c>
      <c r="AK8" s="22">
        <v>0</v>
      </c>
      <c r="AL8" s="22">
        <f t="shared" si="33"/>
        <v>0</v>
      </c>
      <c r="AM8" s="23" t="str">
        <f>IF(SUMPRODUCT($J$64:AL$64,$J8:AL8)&lt;0.5,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IF(SUMPRODUCT($J$64:AO$64,$J8:AO8)&lt;0.5,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IF(SUMPRODUCT($J$64:AR$64,$J8:AR8)&lt;0.5,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IF(SUMPRODUCT($J$64:AU$64,$J8:AU8)&lt;0.5,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IF(SUMPRODUCT($J$64:AX$64,$J8:AX8)&lt;0.5,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40</v>
      </c>
    </row>
    <row r="9" spans="1:83" x14ac:dyDescent="0.25">
      <c r="A9" s="16" t="s">
        <v>104</v>
      </c>
      <c r="B9" s="16" t="s">
        <v>118</v>
      </c>
      <c r="C9" s="16" t="s">
        <v>137</v>
      </c>
      <c r="D9" s="17" t="s">
        <v>160</v>
      </c>
      <c r="E9" s="164" t="s">
        <v>168</v>
      </c>
      <c r="F9" s="18" t="s">
        <v>138</v>
      </c>
      <c r="G9" s="19" t="e">
        <f t="shared" ca="1" si="0"/>
        <v>#REF!</v>
      </c>
      <c r="H9" s="20">
        <v>1</v>
      </c>
      <c r="I9" s="21">
        <v>25</v>
      </c>
      <c r="J9" s="22">
        <v>0</v>
      </c>
      <c r="K9" s="22">
        <f t="shared" si="24"/>
        <v>25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25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25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25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25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25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25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25</v>
      </c>
      <c r="AG9" s="23" t="str">
        <f>IF(SUMPRODUCT($J$64:AF$64,$J9:AF9)&lt;0.5, "Pending", IF(AF9&lt;0.5, "Complete", "In Progress"))</f>
        <v>Pending</v>
      </c>
      <c r="AH9" s="22">
        <v>1</v>
      </c>
      <c r="AI9" s="22">
        <f t="shared" si="32"/>
        <v>24</v>
      </c>
      <c r="AJ9" s="23" t="str">
        <f>IF(SUMPRODUCT($J$64:AI$64,$J9:AI9)&lt;0.5, "Pending", IF(AI9&lt;0.5, "Complete", "In Progress"))</f>
        <v>In Progress</v>
      </c>
      <c r="AK9" s="22">
        <v>8</v>
      </c>
      <c r="AL9" s="22">
        <f t="shared" si="33"/>
        <v>16</v>
      </c>
      <c r="AM9" s="23" t="str">
        <f>IF(SUMPRODUCT($J$64:AL$64,$J9:AL9)&lt;0.5, "Pending", IF(AL9&lt;0.5, "Complete", "In Progress"))</f>
        <v>In Progress</v>
      </c>
      <c r="AN9" s="22">
        <v>0</v>
      </c>
      <c r="AO9" s="22">
        <f t="shared" si="34"/>
        <v>16</v>
      </c>
      <c r="AP9" s="23" t="str">
        <f>IF(SUMPRODUCT($J$64:AO$64,$J9:AO9)&lt;0.5, "Pending", IF(AO9&lt;0.5, "Complete", "In Progress"))</f>
        <v>In Progress</v>
      </c>
      <c r="AQ9" s="22">
        <v>0</v>
      </c>
      <c r="AR9" s="22">
        <f t="shared" si="35"/>
        <v>16</v>
      </c>
      <c r="AS9" s="23" t="str">
        <f>IF(SUMPRODUCT($J$64:AR$64,$J9:AR9)&lt;0.5, "Pending", IF(AR9&lt;0.5, "Complete", "In Progress"))</f>
        <v>In Progress</v>
      </c>
      <c r="AT9" s="22">
        <v>8</v>
      </c>
      <c r="AU9" s="22">
        <f t="shared" si="36"/>
        <v>8</v>
      </c>
      <c r="AV9" s="23" t="str">
        <f>IF(SUMPRODUCT($J$64:AU$64,$J9:AU9)&lt;0.5, "Pending", IF(AU9&lt;0.5, "Complete", "In Progress"))</f>
        <v>In Progress</v>
      </c>
      <c r="AW9" s="22">
        <v>8</v>
      </c>
      <c r="AX9" s="22">
        <f t="shared" si="37"/>
        <v>0</v>
      </c>
      <c r="AY9" s="23" t="str">
        <f>IF(SUMPRODUCT($J$64:AX$64,$J9:AX9)&lt;0.5,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25</v>
      </c>
    </row>
    <row r="10" spans="1:83" x14ac:dyDescent="0.25">
      <c r="A10" s="16" t="s">
        <v>104</v>
      </c>
      <c r="B10" s="16" t="s">
        <v>110</v>
      </c>
      <c r="C10" s="16" t="s">
        <v>137</v>
      </c>
      <c r="D10" s="17" t="s">
        <v>161</v>
      </c>
      <c r="E10" s="164" t="s">
        <v>170</v>
      </c>
      <c r="F10" s="18" t="s">
        <v>169</v>
      </c>
      <c r="G10" s="19" t="e">
        <f t="shared" ca="1" si="0"/>
        <v>#REF!</v>
      </c>
      <c r="H10" s="20">
        <v>1</v>
      </c>
      <c r="I10" s="21">
        <v>30</v>
      </c>
      <c r="J10" s="22">
        <v>0</v>
      </c>
      <c r="K10" s="22">
        <f t="shared" si="24"/>
        <v>30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30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30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30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30</v>
      </c>
      <c r="X10" s="23" t="str">
        <f>IF(SUMPRODUCT($J$64:W$64,$J10:W10)&lt;0.5, "Pending", IF(W10&lt;0.5, "Complete", "In Progress"))</f>
        <v>Pending</v>
      </c>
      <c r="Y10" s="22">
        <v>6</v>
      </c>
      <c r="Z10" s="22">
        <f t="shared" si="29"/>
        <v>24</v>
      </c>
      <c r="AA10" s="23" t="str">
        <f>IF(SUMPRODUCT($J$64:Z$64,$J10:Z10)&lt;0.5, "Pending", IF(Z10&lt;0.5, "Complete", "In Progress"))</f>
        <v>In Progress</v>
      </c>
      <c r="AB10" s="22">
        <v>6</v>
      </c>
      <c r="AC10" s="22">
        <f t="shared" si="30"/>
        <v>18</v>
      </c>
      <c r="AD10" s="23" t="str">
        <f>IF(SUMPRODUCT($J$64:AC$64,$J10:AC10)&lt;0.5, "Pending", IF(AC10&lt;0.5, "Complete", "In Progress"))</f>
        <v>In Progress</v>
      </c>
      <c r="AE10" s="22">
        <v>6</v>
      </c>
      <c r="AF10" s="22">
        <f t="shared" si="31"/>
        <v>12</v>
      </c>
      <c r="AG10" s="23" t="str">
        <f>IF(SUMPRODUCT($J$64:AF$64,$J10:AF10)&lt;0.5, "Pending", IF(AF10&lt;0.5, "Complete", "In Progress"))</f>
        <v>In Progress</v>
      </c>
      <c r="AH10" s="22">
        <v>6</v>
      </c>
      <c r="AI10" s="22">
        <f t="shared" si="32"/>
        <v>6</v>
      </c>
      <c r="AJ10" s="23" t="str">
        <f>IF(SUMPRODUCT($J$64:AI$64,$J10:AI10)&lt;0.5, "Pending", IF(AI10&lt;0.5, "Complete", "In Progress"))</f>
        <v>In Progress</v>
      </c>
      <c r="AK10" s="22">
        <v>6</v>
      </c>
      <c r="AL10" s="22">
        <f t="shared" si="33"/>
        <v>0</v>
      </c>
      <c r="AM10" s="23" t="str">
        <f>IF(SUMPRODUCT($J$64:AL$64,$J10:AL10)&lt;0.5, "Pending", IF(AL10&lt;0.5, "Complete", "In Progress"))</f>
        <v>Complete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Complete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Complete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Complete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30</v>
      </c>
    </row>
    <row r="11" spans="1:83" x14ac:dyDescent="0.25">
      <c r="A11" s="16" t="s">
        <v>104</v>
      </c>
      <c r="B11" s="16" t="s">
        <v>110</v>
      </c>
      <c r="C11" s="16" t="s">
        <v>137</v>
      </c>
      <c r="D11" s="17" t="s">
        <v>162</v>
      </c>
      <c r="E11" s="164" t="s">
        <v>155</v>
      </c>
      <c r="F11" s="18" t="s">
        <v>141</v>
      </c>
      <c r="G11" s="19" t="e">
        <f t="shared" ca="1" si="0"/>
        <v>#REF!</v>
      </c>
      <c r="H11" s="20">
        <v>1</v>
      </c>
      <c r="I11" s="21">
        <v>50</v>
      </c>
      <c r="J11" s="22">
        <v>8</v>
      </c>
      <c r="K11" s="22">
        <f t="shared" si="24"/>
        <v>42</v>
      </c>
      <c r="L11" s="23" t="str">
        <f>IF(SUMPRODUCT($J$64:K$64,$J11:K11)&lt;0.5, "Pending", IF(K11&lt;0.5, "Complete", "In Progress"))</f>
        <v>In Progress</v>
      </c>
      <c r="M11" s="22">
        <v>8</v>
      </c>
      <c r="N11" s="22">
        <f t="shared" si="25"/>
        <v>34</v>
      </c>
      <c r="O11" s="23" t="str">
        <f>IF(SUMPRODUCT($J$64:N$64,$J11:N11)&lt;0.5, "Pending", IF(N11&lt;0.5, "Complete", "In Progress"))</f>
        <v>In Progress</v>
      </c>
      <c r="P11" s="22">
        <v>8</v>
      </c>
      <c r="Q11" s="22">
        <f t="shared" si="26"/>
        <v>26</v>
      </c>
      <c r="R11" s="23" t="str">
        <f>IF(SUMPRODUCT($J$64:Q$64,$J11:Q11)&lt;0.5, "Pending", IF(Q11&lt;0.5, "Complete", "In Progress"))</f>
        <v>In Progress</v>
      </c>
      <c r="S11" s="22">
        <v>0</v>
      </c>
      <c r="T11" s="22">
        <f t="shared" si="27"/>
        <v>26</v>
      </c>
      <c r="U11" s="23" t="str">
        <f>IF(SUMPRODUCT($J$64:T$64,$J11:T11)&lt;0.5, "Pending", IF(T11&lt;0.5, "Complete", "In Progress"))</f>
        <v>In Progress</v>
      </c>
      <c r="V11" s="22">
        <v>0</v>
      </c>
      <c r="W11" s="22">
        <f t="shared" si="28"/>
        <v>26</v>
      </c>
      <c r="X11" s="23" t="str">
        <f>IF(SUMPRODUCT($J$64:W$64,$J11:W11)&lt;0.5, "Pending", IF(W11&lt;0.5, "Complete", "In Progress"))</f>
        <v>In Progress</v>
      </c>
      <c r="Y11" s="22">
        <v>8</v>
      </c>
      <c r="Z11" s="22">
        <f t="shared" si="29"/>
        <v>18</v>
      </c>
      <c r="AA11" s="23" t="str">
        <f>IF(SUMPRODUCT($J$64:Z$64,$J11:Z11)&lt;0.5, "Pending", IF(Z11&lt;0.5, "Complete", "In Progress"))</f>
        <v>In Progress</v>
      </c>
      <c r="AB11" s="22">
        <v>8</v>
      </c>
      <c r="AC11" s="22">
        <f t="shared" si="30"/>
        <v>10</v>
      </c>
      <c r="AD11" s="23" t="str">
        <f>IF(SUMPRODUCT($J$64:AC$64,$J11:AC11)&lt;0.5, "Pending", IF(AC11&lt;0.5, "Complete", "In Progress"))</f>
        <v>In Progress</v>
      </c>
      <c r="AE11" s="22">
        <v>8</v>
      </c>
      <c r="AF11" s="22">
        <f t="shared" si="31"/>
        <v>2</v>
      </c>
      <c r="AG11" s="23" t="str">
        <f>IF(SUMPRODUCT($J$64:AF$64,$J11:AF11)&lt;0.5, "Pending", IF(AF11&lt;0.5, "Complete", "In Progress"))</f>
        <v>In Progress</v>
      </c>
      <c r="AH11" s="22">
        <v>2</v>
      </c>
      <c r="AI11" s="22">
        <f t="shared" si="32"/>
        <v>0</v>
      </c>
      <c r="AJ11" s="23" t="str">
        <f>IF(SUMPRODUCT($J$64:AI$64,$J11:AI11)&lt;0.5, "Pending", IF(AI11&lt;0.5, "Complete", "In Progress"))</f>
        <v>Complete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50</v>
      </c>
    </row>
    <row r="12" spans="1:83" x14ac:dyDescent="0.25">
      <c r="A12" s="16" t="s">
        <v>104</v>
      </c>
      <c r="B12" s="16" t="s">
        <v>118</v>
      </c>
      <c r="C12" s="16" t="s">
        <v>137</v>
      </c>
      <c r="D12" s="17" t="s">
        <v>163</v>
      </c>
      <c r="E12" s="164" t="s">
        <v>167</v>
      </c>
      <c r="F12" s="18" t="s">
        <v>139</v>
      </c>
      <c r="G12" s="19" t="e">
        <f t="shared" ca="1" si="0"/>
        <v>#REF!</v>
      </c>
      <c r="H12" s="20">
        <v>1</v>
      </c>
      <c r="I12" s="21">
        <v>20</v>
      </c>
      <c r="J12" s="22">
        <v>0</v>
      </c>
      <c r="K12" s="22">
        <f t="shared" si="24"/>
        <v>20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20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20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20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20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20</v>
      </c>
      <c r="AA12" s="23" t="str">
        <f>IF(SUMPRODUCT($J$64:Z$64,$J12:Z12)&lt;0.5, "Pending", IF(Z12&lt;0.5, "Complete", "In Progress"))</f>
        <v>Pending</v>
      </c>
      <c r="AB12" s="22">
        <v>4</v>
      </c>
      <c r="AC12" s="22">
        <f t="shared" si="30"/>
        <v>16</v>
      </c>
      <c r="AD12" s="23" t="str">
        <f>IF(SUMPRODUCT($J$64:AC$64,$J12:AC12)&lt;0.5, "Pending", IF(AC12&lt;0.5, "Complete", "In Progress"))</f>
        <v>In Progress</v>
      </c>
      <c r="AE12" s="22">
        <v>8</v>
      </c>
      <c r="AF12" s="22">
        <f t="shared" si="31"/>
        <v>8</v>
      </c>
      <c r="AG12" s="23" t="str">
        <f>IF(SUMPRODUCT($J$64:AF$64,$J12:AF12)&lt;0.5, "Pending", IF(AF12&lt;0.5, "Complete", "In Progress"))</f>
        <v>In Progress</v>
      </c>
      <c r="AH12" s="22">
        <v>0</v>
      </c>
      <c r="AI12" s="22">
        <f t="shared" si="32"/>
        <v>8</v>
      </c>
      <c r="AJ12" s="23" t="str">
        <f>IF(SUMPRODUCT($J$64:AI$64,$J12:AI12)&lt;0.5, "Pending", IF(AI12&lt;0.5, "Complete", "In Progress"))</f>
        <v>In Progress</v>
      </c>
      <c r="AK12" s="22">
        <v>5</v>
      </c>
      <c r="AL12" s="22">
        <f t="shared" si="33"/>
        <v>3</v>
      </c>
      <c r="AM12" s="23" t="str">
        <f>IF(SUMPRODUCT($J$64:AL$64,$J12:AL12)&lt;0.5, "Pending", IF(AL12&lt;0.5, "Complete", "In Progress"))</f>
        <v>In Progress</v>
      </c>
      <c r="AN12" s="22">
        <v>3</v>
      </c>
      <c r="AO12" s="22">
        <f t="shared" si="34"/>
        <v>0</v>
      </c>
      <c r="AP12" s="23" t="str">
        <f>IF(SUMPRODUCT($J$64:AO$64,$J12:AO12)&lt;0.5, "Pending", IF(AO12&lt;0.5, "Complete", "In Progress"))</f>
        <v>Complete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Complete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Complete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20</v>
      </c>
    </row>
    <row r="13" spans="1:83" x14ac:dyDescent="0.25">
      <c r="A13" s="16" t="s">
        <v>104</v>
      </c>
      <c r="B13" s="16" t="s">
        <v>115</v>
      </c>
      <c r="C13" s="16" t="s">
        <v>137</v>
      </c>
      <c r="D13" s="17" t="s">
        <v>164</v>
      </c>
      <c r="E13" s="164" t="s">
        <v>156</v>
      </c>
      <c r="F13" s="18" t="s">
        <v>169</v>
      </c>
      <c r="G13" s="19" t="e">
        <f t="shared" ca="1" si="0"/>
        <v>#REF!</v>
      </c>
      <c r="H13" s="20">
        <v>1</v>
      </c>
      <c r="I13" s="21">
        <v>20</v>
      </c>
      <c r="J13" s="22">
        <v>0</v>
      </c>
      <c r="K13" s="22">
        <f t="shared" si="24"/>
        <v>20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20</v>
      </c>
      <c r="O13" s="23" t="str">
        <f>IF(SUMPRODUCT($J$64:N$64,$J13:N13)&lt;0.5, "Pending", IF(N13&lt;0.5, "Complete", "In Progress"))</f>
        <v>Pending</v>
      </c>
      <c r="P13" s="22">
        <v>3</v>
      </c>
      <c r="Q13" s="22">
        <f t="shared" si="26"/>
        <v>17</v>
      </c>
      <c r="R13" s="23" t="str">
        <f>IF(SUMPRODUCT($J$64:Q$64,$J13:Q13)&lt;0.5, "Pending", IF(Q13&lt;0.5, "Complete", "In Progress"))</f>
        <v>In Progress</v>
      </c>
      <c r="S13" s="22">
        <v>0</v>
      </c>
      <c r="T13" s="22">
        <f t="shared" si="27"/>
        <v>17</v>
      </c>
      <c r="U13" s="23" t="str">
        <f>IF(SUMPRODUCT($J$64:T$64,$J13:T13)&lt;0.5, "Pending", IF(T13&lt;0.5, "Complete", "In Progress"))</f>
        <v>In Progress</v>
      </c>
      <c r="V13" s="22">
        <v>0</v>
      </c>
      <c r="W13" s="22">
        <f t="shared" si="28"/>
        <v>17</v>
      </c>
      <c r="X13" s="23" t="str">
        <f>IF(SUMPRODUCT($J$64:W$64,$J13:W13)&lt;0.5, "Pending", IF(W13&lt;0.5, "Complete", "In Progress"))</f>
        <v>In Progress</v>
      </c>
      <c r="Y13" s="22">
        <v>0</v>
      </c>
      <c r="Z13" s="22">
        <f t="shared" si="29"/>
        <v>17</v>
      </c>
      <c r="AA13" s="23" t="str">
        <f>IF(SUMPRODUCT($J$64:Z$64,$J13:Z13)&lt;0.5, "Pending", IF(Z13&lt;0.5, "Complete", "In Progress"))</f>
        <v>In Progress</v>
      </c>
      <c r="AB13" s="22">
        <v>0</v>
      </c>
      <c r="AC13" s="22">
        <f t="shared" si="30"/>
        <v>17</v>
      </c>
      <c r="AD13" s="23" t="str">
        <f>IF(SUMPRODUCT($J$64:AC$64,$J13:AC13)&lt;0.5, "Pending", IF(AC13&lt;0.5, "Complete", "In Progress"))</f>
        <v>In Progress</v>
      </c>
      <c r="AE13" s="22">
        <v>0</v>
      </c>
      <c r="AF13" s="22">
        <f t="shared" si="31"/>
        <v>17</v>
      </c>
      <c r="AG13" s="23" t="str">
        <f>IF(SUMPRODUCT($J$64:AF$64,$J13:AF13)&lt;0.5, "Pending", IF(AF13&lt;0.5, "Complete", "In Progress"))</f>
        <v>In Progress</v>
      </c>
      <c r="AH13" s="22">
        <v>0</v>
      </c>
      <c r="AI13" s="22">
        <f t="shared" si="32"/>
        <v>17</v>
      </c>
      <c r="AJ13" s="23" t="str">
        <f>IF(SUMPRODUCT($J$64:AI$64,$J13:AI13)&lt;0.5, "Pending", IF(AI13&lt;0.5, "Complete", "In Progress"))</f>
        <v>In Progress</v>
      </c>
      <c r="AK13" s="22">
        <v>0</v>
      </c>
      <c r="AL13" s="22">
        <f t="shared" si="33"/>
        <v>17</v>
      </c>
      <c r="AM13" s="23" t="str">
        <f>IF(SUMPRODUCT($J$64:AL$64,$J13:AL13)&lt;0.5, "Pending", IF(AL13&lt;0.5, "Complete", "In Progress"))</f>
        <v>In Progress</v>
      </c>
      <c r="AN13" s="22">
        <v>0</v>
      </c>
      <c r="AO13" s="22">
        <f t="shared" si="34"/>
        <v>17</v>
      </c>
      <c r="AP13" s="23" t="str">
        <f>IF(SUMPRODUCT($J$64:AO$64,$J13:AO13)&lt;0.5, "Pending", IF(AO13&lt;0.5, "Complete", "In Progress"))</f>
        <v>In Progress</v>
      </c>
      <c r="AQ13" s="22">
        <v>6</v>
      </c>
      <c r="AR13" s="22">
        <f t="shared" si="35"/>
        <v>11</v>
      </c>
      <c r="AS13" s="23" t="str">
        <f>IF(SUMPRODUCT($J$64:AR$64,$J13:AR13)&lt;0.5, "Pending", IF(AR13&lt;0.5, "Complete", "In Progress"))</f>
        <v>In Progress</v>
      </c>
      <c r="AT13" s="22">
        <v>6</v>
      </c>
      <c r="AU13" s="22">
        <f t="shared" si="36"/>
        <v>5</v>
      </c>
      <c r="AV13" s="23" t="str">
        <f>IF(SUMPRODUCT($J$64:AU$64,$J13:AU13)&lt;0.5, "Pending", IF(AU13&lt;0.5, "Complete", "In Progress"))</f>
        <v>In Progress</v>
      </c>
      <c r="AW13" s="22">
        <v>6</v>
      </c>
      <c r="AX13" s="22">
        <f t="shared" si="37"/>
        <v>0</v>
      </c>
      <c r="AY13" s="23" t="str">
        <f>IF(SUMPRODUCT($J$64:AX$64,$J13:AX13)&lt;0.5,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21</v>
      </c>
    </row>
    <row r="14" spans="1:83" x14ac:dyDescent="0.25">
      <c r="A14" s="16" t="s">
        <v>104</v>
      </c>
      <c r="B14" s="16" t="s">
        <v>115</v>
      </c>
      <c r="C14" s="16" t="s">
        <v>137</v>
      </c>
      <c r="D14" s="17" t="s">
        <v>165</v>
      </c>
      <c r="E14" s="164" t="s">
        <v>157</v>
      </c>
      <c r="F14" s="18" t="s">
        <v>142</v>
      </c>
      <c r="G14" s="19" t="e">
        <f t="shared" ca="1" si="0"/>
        <v>#REF!</v>
      </c>
      <c r="H14" s="20">
        <v>1</v>
      </c>
      <c r="I14" s="21">
        <v>15</v>
      </c>
      <c r="J14" s="22">
        <v>0</v>
      </c>
      <c r="K14" s="22">
        <f t="shared" si="24"/>
        <v>15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15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15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15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15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15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15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15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15</v>
      </c>
      <c r="AJ14" s="23" t="str">
        <f>IF(SUMPRODUCT($J$64:AI$64,$J14:AI14)&lt;0.5, "Pending", IF(AI14&lt;0.5, "Complete", "In Progress"))</f>
        <v>Pending</v>
      </c>
      <c r="AK14" s="22">
        <v>5</v>
      </c>
      <c r="AL14" s="22">
        <f t="shared" si="33"/>
        <v>10</v>
      </c>
      <c r="AM14" s="23" t="str">
        <f>IF(SUMPRODUCT($J$64:AL$64,$J14:AL14)&lt;0.5, "Pending", IF(AL14&lt;0.5, "Complete", "In Progress"))</f>
        <v>In Progress</v>
      </c>
      <c r="AN14" s="22">
        <v>0</v>
      </c>
      <c r="AO14" s="22">
        <f t="shared" si="34"/>
        <v>10</v>
      </c>
      <c r="AP14" s="23" t="str">
        <f>IF(SUMPRODUCT($J$64:AO$64,$J14:AO14)&lt;0.5, "Pending", IF(AO14&lt;0.5, "Complete", "In Progress"))</f>
        <v>In Progress</v>
      </c>
      <c r="AQ14" s="22">
        <v>0</v>
      </c>
      <c r="AR14" s="22">
        <f t="shared" si="35"/>
        <v>10</v>
      </c>
      <c r="AS14" s="23" t="str">
        <f>IF(SUMPRODUCT($J$64:AR$64,$J14:AR14)&lt;0.5, "Pending", IF(AR14&lt;0.5, "Complete", "In Progress"))</f>
        <v>In Progress</v>
      </c>
      <c r="AT14" s="22">
        <v>5</v>
      </c>
      <c r="AU14" s="22">
        <f t="shared" si="36"/>
        <v>5</v>
      </c>
      <c r="AV14" s="23" t="str">
        <f>IF(SUMPRODUCT($J$64:AU$64,$J14:AU14)&lt;0.5, "Pending", IF(AU14&lt;0.5, "Complete", "In Progress"))</f>
        <v>In Progress</v>
      </c>
      <c r="AW14" s="22">
        <v>5</v>
      </c>
      <c r="AX14" s="22">
        <f t="shared" si="37"/>
        <v>0</v>
      </c>
      <c r="AY14" s="23" t="str">
        <f>IF(SUMPRODUCT($J$64:AX$64,$J14:AX14)&lt;0.5,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15</v>
      </c>
    </row>
    <row r="15" spans="1:83" x14ac:dyDescent="0.25">
      <c r="A15" s="16" t="s">
        <v>104</v>
      </c>
      <c r="B15" s="16" t="s">
        <v>121</v>
      </c>
      <c r="C15" s="16" t="s">
        <v>137</v>
      </c>
      <c r="D15" s="17" t="s">
        <v>166</v>
      </c>
      <c r="E15" s="164" t="s">
        <v>158</v>
      </c>
      <c r="F15" s="18" t="s">
        <v>140</v>
      </c>
      <c r="G15" s="19" t="e">
        <f t="shared" ca="1" si="0"/>
        <v>#REF!</v>
      </c>
      <c r="H15" s="20">
        <v>1</v>
      </c>
      <c r="I15" s="21">
        <v>25</v>
      </c>
      <c r="J15" s="22">
        <v>0</v>
      </c>
      <c r="K15" s="22">
        <f t="shared" si="24"/>
        <v>25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25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25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25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25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25</v>
      </c>
      <c r="AA15" s="23" t="str">
        <f>IF(SUMPRODUCT($J$64:Z$64,$J15:Z15)&lt;0.5, "Pending", IF(Z15&lt;0.5, "Complete", "In Progress"))</f>
        <v>Pending</v>
      </c>
      <c r="AB15" s="22">
        <v>4</v>
      </c>
      <c r="AC15" s="22">
        <f t="shared" si="30"/>
        <v>21</v>
      </c>
      <c r="AD15" s="23" t="str">
        <f>IF(SUMPRODUCT($J$64:AC$64,$J15:AC15)&lt;0.5, "Pending", IF(AC15&lt;0.5, "Complete", "In Progress"))</f>
        <v>In Progress</v>
      </c>
      <c r="AE15" s="22">
        <v>8</v>
      </c>
      <c r="AF15" s="22">
        <f t="shared" si="31"/>
        <v>13</v>
      </c>
      <c r="AG15" s="23" t="str">
        <f>IF(SUMPRODUCT($J$64:AF$64,$J15:AF15)&lt;0.5, "Pending", IF(AF15&lt;0.5, "Complete", "In Progress"))</f>
        <v>In Progress</v>
      </c>
      <c r="AH15" s="22">
        <v>8</v>
      </c>
      <c r="AI15" s="22">
        <f t="shared" si="32"/>
        <v>5</v>
      </c>
      <c r="AJ15" s="23" t="str">
        <f>IF(SUMPRODUCT($J$64:AI$64,$J15:AI15)&lt;0.5, "Pending", IF(AI15&lt;0.5, "Complete", "In Progress"))</f>
        <v>In Progress</v>
      </c>
      <c r="AK15" s="22">
        <v>5</v>
      </c>
      <c r="AL15" s="22">
        <f t="shared" si="33"/>
        <v>0</v>
      </c>
      <c r="AM15" s="23" t="str">
        <f>IF(SUMPRODUCT($J$64:AL$64,$J15:AL15)&lt;0.5, "Pending", IF(AL15&lt;0.5, "Complete", "In Progress"))</f>
        <v>Complete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Complete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Complete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Complete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25</v>
      </c>
    </row>
    <row r="16" spans="1:83" x14ac:dyDescent="0.25">
      <c r="A16" s="16"/>
      <c r="B16" s="16"/>
      <c r="C16" s="16"/>
      <c r="D16" s="17"/>
      <c r="E16" s="164"/>
      <c r="F16" s="18" t="s">
        <v>132</v>
      </c>
      <c r="G16" s="19" t="e">
        <f t="shared" ca="1" si="0"/>
        <v>#REF!</v>
      </c>
      <c r="H16" s="20">
        <v>1</v>
      </c>
      <c r="I16" s="21">
        <v>0</v>
      </c>
      <c r="J16" s="22">
        <v>5</v>
      </c>
      <c r="K16" s="22">
        <f t="shared" si="24"/>
        <v>0</v>
      </c>
      <c r="L16" s="23" t="str">
        <f>IF(SUMPRODUCT($J$64:K$64,$J16:K16)&lt;0.5, "Pending", IF(K16&lt;0.5, "Complete", "In Progress"))</f>
        <v>Complete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Complete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Complete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Complete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Complete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Complete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Complete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Complete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Complete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Complete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Complete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Complete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Complete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5</v>
      </c>
    </row>
    <row r="17" spans="1:83" x14ac:dyDescent="0.25">
      <c r="A17" s="16"/>
      <c r="B17" s="16"/>
      <c r="C17" s="16"/>
      <c r="D17" s="17"/>
      <c r="E17" s="164"/>
      <c r="F17" s="18" t="s">
        <v>132</v>
      </c>
      <c r="G17" s="19" t="e">
        <f t="shared" ca="1" si="0"/>
        <v>#REF!</v>
      </c>
      <c r="H17" s="20">
        <v>1</v>
      </c>
      <c r="I17" s="21">
        <v>0</v>
      </c>
      <c r="J17" s="22">
        <v>5</v>
      </c>
      <c r="K17" s="22">
        <f t="shared" si="24"/>
        <v>0</v>
      </c>
      <c r="L17" s="23" t="str">
        <f>IF(SUMPRODUCT($J$64:K$64,$J17:K17)&lt;0.5, "Pending", IF(K17&lt;0.5, "Complete", "In Progress"))</f>
        <v>Complete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Complete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Complete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Complete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Complete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Complete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Complete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Complete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Complete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Complete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Complete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Complete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Complete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5</v>
      </c>
    </row>
    <row r="18" spans="1:83" x14ac:dyDescent="0.25">
      <c r="A18" s="16"/>
      <c r="B18" s="16"/>
      <c r="C18" s="16"/>
      <c r="D18" s="17"/>
      <c r="E18" s="164"/>
      <c r="F18" s="18" t="s">
        <v>132</v>
      </c>
      <c r="G18" s="19" t="e">
        <f t="shared" ca="1" si="0"/>
        <v>#REF!</v>
      </c>
      <c r="H18" s="20">
        <v>1</v>
      </c>
      <c r="I18" s="21">
        <v>0</v>
      </c>
      <c r="J18" s="22">
        <v>5</v>
      </c>
      <c r="K18" s="22">
        <f t="shared" si="24"/>
        <v>0</v>
      </c>
      <c r="L18" s="23" t="str">
        <f>IF(SUMPRODUCT($J$64:K$64,$J18:K18)&lt;0.5, "Pending", IF(K18&lt;0.5, "Complete", "In Progress"))</f>
        <v>Complete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Complete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Complete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Complete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Complete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Complete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Complete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Complete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Complete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Complete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Complete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Complete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Complete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5</v>
      </c>
    </row>
    <row r="19" spans="1:83" x14ac:dyDescent="0.25">
      <c r="A19" s="16"/>
      <c r="B19" s="16"/>
      <c r="C19" s="16"/>
      <c r="D19" s="17"/>
      <c r="E19" s="164"/>
      <c r="F19" s="18" t="s">
        <v>132</v>
      </c>
      <c r="G19" s="19" t="e">
        <f t="shared" ca="1" si="0"/>
        <v>#REF!</v>
      </c>
      <c r="H19" s="20">
        <v>1</v>
      </c>
      <c r="I19" s="21">
        <v>0</v>
      </c>
      <c r="J19" s="22">
        <v>5</v>
      </c>
      <c r="K19" s="22">
        <f t="shared" si="24"/>
        <v>0</v>
      </c>
      <c r="L19" s="23" t="str">
        <f>IF(SUMPRODUCT($J$64:K$64,$J19:K19)&lt;0.5, "Pending", IF(K19&lt;0.5, "Complete", "In Progress"))</f>
        <v>Complete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Complete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Complete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Complete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Complete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Complete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Complete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Complete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Complete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Complete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Complete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Complete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Complete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5</v>
      </c>
    </row>
    <row r="20" spans="1:83" x14ac:dyDescent="0.25">
      <c r="A20" s="16"/>
      <c r="B20" s="16"/>
      <c r="C20" s="16"/>
      <c r="D20" s="17"/>
      <c r="E20" s="164"/>
      <c r="F20" s="18" t="s">
        <v>132</v>
      </c>
      <c r="G20" s="19" t="e">
        <f t="shared" ca="1" si="0"/>
        <v>#REF!</v>
      </c>
      <c r="H20" s="20">
        <v>1</v>
      </c>
      <c r="I20" s="21">
        <v>0</v>
      </c>
      <c r="J20" s="22">
        <v>5</v>
      </c>
      <c r="K20" s="22">
        <f t="shared" si="24"/>
        <v>0</v>
      </c>
      <c r="L20" s="23" t="str">
        <f>IF(SUMPRODUCT($J$64:K$64,$J20:K20)&lt;0.5, "Pending", IF(K20&lt;0.5, "Complete", "In Progress"))</f>
        <v>Complete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Complete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Complete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Complete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Complete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Complete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Complete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Complete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Complete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Complete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Complete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Complete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Complete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5</v>
      </c>
    </row>
    <row r="21" spans="1:83" x14ac:dyDescent="0.25">
      <c r="A21" s="16"/>
      <c r="B21" s="16"/>
      <c r="C21" s="16"/>
      <c r="D21" s="17"/>
      <c r="E21" s="164"/>
      <c r="F21" s="18" t="s">
        <v>132</v>
      </c>
      <c r="G21" s="19" t="e">
        <f t="shared" ca="1" si="0"/>
        <v>#REF!</v>
      </c>
      <c r="H21" s="20">
        <v>1</v>
      </c>
      <c r="I21" s="21">
        <v>0</v>
      </c>
      <c r="J21" s="22">
        <v>5</v>
      </c>
      <c r="K21" s="22">
        <f t="shared" si="24"/>
        <v>0</v>
      </c>
      <c r="L21" s="23" t="str">
        <f>IF(SUMPRODUCT($J$64:K$64,$J21:K21)&lt;0.5, "Pending", IF(K21&lt;0.5, "Complete", "In Progress"))</f>
        <v>Complete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Complete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Complete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Complete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Complete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Complete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Complete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Complete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Complete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Complete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Complete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Complete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Complete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5</v>
      </c>
    </row>
    <row r="22" spans="1:83" x14ac:dyDescent="0.25">
      <c r="A22" s="16"/>
      <c r="B22" s="16"/>
      <c r="C22" s="16"/>
      <c r="D22" s="17"/>
      <c r="E22" s="164"/>
      <c r="F22" s="18" t="s">
        <v>132</v>
      </c>
      <c r="G22" s="19" t="e">
        <f t="shared" ca="1" si="0"/>
        <v>#REF!</v>
      </c>
      <c r="H22" s="20">
        <v>1</v>
      </c>
      <c r="I22" s="21">
        <v>0</v>
      </c>
      <c r="J22" s="22">
        <v>5</v>
      </c>
      <c r="K22" s="22">
        <f t="shared" si="24"/>
        <v>0</v>
      </c>
      <c r="L22" s="23" t="str">
        <f>IF(SUMPRODUCT($J$64:K$64,$J22:K22)&lt;0.5, "Pending", IF(K22&lt;0.5, "Complete", "In Progress"))</f>
        <v>Complete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Complete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Complete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Complete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Complete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Complete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Complete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Complete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Complete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Complete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Complete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Complete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Complete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5</v>
      </c>
    </row>
    <row r="23" spans="1:83" x14ac:dyDescent="0.25">
      <c r="A23" s="16"/>
      <c r="B23" s="16"/>
      <c r="C23" s="16"/>
      <c r="D23" s="17"/>
      <c r="E23" s="164"/>
      <c r="F23" s="18" t="s">
        <v>132</v>
      </c>
      <c r="G23" s="19" t="e">
        <f t="shared" ca="1" si="0"/>
        <v>#REF!</v>
      </c>
      <c r="H23" s="20">
        <v>1</v>
      </c>
      <c r="I23" s="21">
        <v>0</v>
      </c>
      <c r="J23" s="22">
        <v>5</v>
      </c>
      <c r="K23" s="22">
        <f t="shared" si="24"/>
        <v>0</v>
      </c>
      <c r="L23" s="23" t="str">
        <f>IF(SUMPRODUCT($J$64:K$64,$J23:K23)&lt;0.5, "Pending", IF(K23&lt;0.5, "Complete", "In Progress"))</f>
        <v>Complete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Complete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Complete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Complete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Complete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Complete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Complete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Complete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Complete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Complete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Complete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Complete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Complete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5</v>
      </c>
    </row>
    <row r="24" spans="1:83" x14ac:dyDescent="0.25">
      <c r="A24" s="16"/>
      <c r="B24" s="16"/>
      <c r="C24" s="16"/>
      <c r="D24" s="17"/>
      <c r="E24" s="164"/>
      <c r="F24" s="18" t="s">
        <v>132</v>
      </c>
      <c r="G24" s="19" t="e">
        <f t="shared" ca="1" si="0"/>
        <v>#REF!</v>
      </c>
      <c r="H24" s="20">
        <v>1</v>
      </c>
      <c r="I24" s="21">
        <v>0</v>
      </c>
      <c r="J24" s="22">
        <v>5</v>
      </c>
      <c r="K24" s="22">
        <f t="shared" si="24"/>
        <v>0</v>
      </c>
      <c r="L24" s="23" t="str">
        <f>IF(SUMPRODUCT($J$64:K$64,$J24:K24)&lt;0.5, "Pending", IF(K24&lt;0.5, "Complete", "In Progress"))</f>
        <v>Complete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Complete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Complete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Complete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Complete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Complete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Complete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Complete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Complete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Complete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Complete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Complete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Complete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5</v>
      </c>
    </row>
    <row r="25" spans="1:83" x14ac:dyDescent="0.25">
      <c r="A25" s="16"/>
      <c r="B25" s="16"/>
      <c r="C25" s="16"/>
      <c r="D25" s="17"/>
      <c r="E25" s="164"/>
      <c r="F25" s="18" t="s">
        <v>132</v>
      </c>
      <c r="G25" s="19" t="e">
        <f t="shared" ca="1" si="0"/>
        <v>#REF!</v>
      </c>
      <c r="H25" s="20">
        <v>1</v>
      </c>
      <c r="I25" s="21">
        <v>0</v>
      </c>
      <c r="J25" s="22">
        <v>5</v>
      </c>
      <c r="K25" s="22">
        <f t="shared" si="24"/>
        <v>0</v>
      </c>
      <c r="L25" s="23" t="str">
        <f>IF(SUMPRODUCT($J$64:K$64,$J25:K25)&lt;0.5, "Pending", IF(K25&lt;0.5, "Complete", "In Progress"))</f>
        <v>Complete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Complete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Complete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Complete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Complete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Complete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Complete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Complete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Complete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Complete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Complete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Complete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Complete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5</v>
      </c>
    </row>
    <row r="26" spans="1:83" x14ac:dyDescent="0.25">
      <c r="A26" s="16"/>
      <c r="B26" s="16"/>
      <c r="C26" s="16"/>
      <c r="D26" s="17"/>
      <c r="E26" s="164"/>
      <c r="F26" s="18" t="s">
        <v>132</v>
      </c>
      <c r="G26" s="19" t="e">
        <f t="shared" ca="1" si="0"/>
        <v>#REF!</v>
      </c>
      <c r="H26" s="20">
        <v>1</v>
      </c>
      <c r="I26" s="21">
        <v>0</v>
      </c>
      <c r="J26" s="22">
        <v>5</v>
      </c>
      <c r="K26" s="22">
        <f t="shared" si="24"/>
        <v>0</v>
      </c>
      <c r="L26" s="23" t="str">
        <f>IF(SUMPRODUCT($J$64:K$64,$J26:K26)&lt;0.5, "Pending", IF(K26&lt;0.5, "Complete", "In Progress"))</f>
        <v>Complete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Complete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Complete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Complete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Complete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Complete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Complete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Complete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Complete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Complete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Complete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Complete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Complete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5</v>
      </c>
    </row>
    <row r="27" spans="1:83" x14ac:dyDescent="0.25">
      <c r="A27" s="16"/>
      <c r="B27" s="16"/>
      <c r="C27" s="16"/>
      <c r="D27" s="17"/>
      <c r="E27" s="164"/>
      <c r="F27" s="18" t="s">
        <v>132</v>
      </c>
      <c r="G27" s="19" t="e">
        <f t="shared" ca="1" si="0"/>
        <v>#REF!</v>
      </c>
      <c r="H27" s="20">
        <v>1</v>
      </c>
      <c r="I27" s="21">
        <v>0</v>
      </c>
      <c r="J27" s="22">
        <v>5</v>
      </c>
      <c r="K27" s="22">
        <f t="shared" si="24"/>
        <v>0</v>
      </c>
      <c r="L27" s="23" t="str">
        <f>IF(SUMPRODUCT($J$64:K$64,$J27:K27)&lt;0.5, "Pending", IF(K27&lt;0.5, "Complete", "In Progress"))</f>
        <v>Complete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Complete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Complete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Complete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Complete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Complete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Complete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Complete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Complete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Complete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Complete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Complete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Complete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Complete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5</v>
      </c>
    </row>
    <row r="28" spans="1:83" x14ac:dyDescent="0.25">
      <c r="A28" s="16"/>
      <c r="B28" s="16"/>
      <c r="C28" s="16"/>
      <c r="D28" s="17"/>
      <c r="E28" s="164"/>
      <c r="F28" s="18" t="s">
        <v>132</v>
      </c>
      <c r="G28" s="19" t="e">
        <f t="shared" ca="1" si="0"/>
        <v>#REF!</v>
      </c>
      <c r="H28" s="20">
        <v>1</v>
      </c>
      <c r="I28" s="21">
        <v>0</v>
      </c>
      <c r="J28" s="22">
        <v>5</v>
      </c>
      <c r="K28" s="22">
        <f t="shared" si="24"/>
        <v>0</v>
      </c>
      <c r="L28" s="23" t="str">
        <f>IF(SUMPRODUCT($J$64:K$64,$J28:K28)&lt;0.5, "Pending", IF(K28&lt;0.5, "Complete", "In Progress"))</f>
        <v>Complete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Complete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Complete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Complete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Complete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Complete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Complete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Complete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Complete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Complete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Complete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Complete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Complete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Complete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5</v>
      </c>
    </row>
    <row r="29" spans="1:83" x14ac:dyDescent="0.25">
      <c r="A29" s="16"/>
      <c r="B29" s="16"/>
      <c r="C29" s="16"/>
      <c r="D29" s="17"/>
      <c r="E29" s="164"/>
      <c r="F29" s="18" t="s">
        <v>132</v>
      </c>
      <c r="G29" s="19" t="e">
        <f t="shared" ca="1" si="0"/>
        <v>#REF!</v>
      </c>
      <c r="H29" s="20">
        <v>1</v>
      </c>
      <c r="I29" s="21">
        <v>0</v>
      </c>
      <c r="J29" s="22">
        <v>5</v>
      </c>
      <c r="K29" s="22">
        <f t="shared" si="24"/>
        <v>0</v>
      </c>
      <c r="L29" s="23" t="str">
        <f>IF(SUMPRODUCT($J$64:K$64,$J29:K29)&lt;0.5, "Pending", IF(K29&lt;0.5, "Complete", "In Progress"))</f>
        <v>Complete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Complete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Complete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Complete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Complete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Complete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Complete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Complete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Complete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Complete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Complete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Complete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Complete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Complete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5</v>
      </c>
    </row>
    <row r="30" spans="1:83" x14ac:dyDescent="0.25">
      <c r="A30" s="16"/>
      <c r="B30" s="16"/>
      <c r="C30" s="16"/>
      <c r="D30" s="17"/>
      <c r="E30" s="164"/>
      <c r="F30" s="18" t="s">
        <v>132</v>
      </c>
      <c r="G30" s="19" t="e">
        <f t="shared" ca="1" si="0"/>
        <v>#REF!</v>
      </c>
      <c r="H30" s="20">
        <v>1</v>
      </c>
      <c r="I30" s="21">
        <v>0</v>
      </c>
      <c r="J30" s="22">
        <v>5</v>
      </c>
      <c r="K30" s="22">
        <f t="shared" si="24"/>
        <v>0</v>
      </c>
      <c r="L30" s="23" t="str">
        <f>IF(SUMPRODUCT($J$64:K$64,$J30:K30)&lt;0.5, "Pending", IF(K30&lt;0.5, "Complete", "In Progress"))</f>
        <v>Complete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Complete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Complete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Complete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Complete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Complete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Complete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Complete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Complete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Complete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Complete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Complete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Complete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Complete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5</v>
      </c>
    </row>
    <row r="31" spans="1:83" x14ac:dyDescent="0.25">
      <c r="A31" s="16"/>
      <c r="B31" s="16"/>
      <c r="C31" s="16"/>
      <c r="D31" s="17"/>
      <c r="E31" s="164"/>
      <c r="F31" s="18" t="s">
        <v>132</v>
      </c>
      <c r="G31" s="19" t="e">
        <f t="shared" ca="1" si="0"/>
        <v>#REF!</v>
      </c>
      <c r="H31" s="20">
        <v>1</v>
      </c>
      <c r="I31" s="21">
        <v>0</v>
      </c>
      <c r="J31" s="22">
        <v>5</v>
      </c>
      <c r="K31" s="22">
        <f t="shared" si="24"/>
        <v>0</v>
      </c>
      <c r="L31" s="23" t="str">
        <f>IF(SUMPRODUCT($J$64:K$64,$J31:K31)&lt;0.5, "Pending", IF(K31&lt;0.5, "Complete", "In Progress"))</f>
        <v>Complete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Complete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Complete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Complete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Complete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Complete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Complete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Complete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Complete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Complete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Complete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Complete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Complete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Complete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5</v>
      </c>
    </row>
    <row r="32" spans="1:83" x14ac:dyDescent="0.25">
      <c r="A32" s="16"/>
      <c r="B32" s="16"/>
      <c r="C32" s="16"/>
      <c r="D32" s="17"/>
      <c r="E32" s="164"/>
      <c r="F32" s="18" t="s">
        <v>132</v>
      </c>
      <c r="G32" s="19" t="e">
        <f t="shared" ca="1" si="0"/>
        <v>#REF!</v>
      </c>
      <c r="H32" s="20">
        <v>1</v>
      </c>
      <c r="I32" s="21">
        <v>0</v>
      </c>
      <c r="J32" s="22">
        <v>5</v>
      </c>
      <c r="K32" s="22">
        <f t="shared" si="24"/>
        <v>0</v>
      </c>
      <c r="L32" s="23" t="str">
        <f>IF(SUMPRODUCT($J$64:K$64,$J32:K32)&lt;0.5, "Pending", IF(K32&lt;0.5, "Complete", "In Progress"))</f>
        <v>Complete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Complete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Complete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Complete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Complete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Complete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Complete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Complete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Complete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Complete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Complete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Complete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Complete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Complete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5</v>
      </c>
    </row>
    <row r="33" spans="1:83" x14ac:dyDescent="0.25">
      <c r="A33" s="16"/>
      <c r="B33" s="16"/>
      <c r="C33" s="16"/>
      <c r="D33" s="17"/>
      <c r="E33" s="164"/>
      <c r="F33" s="18" t="s">
        <v>132</v>
      </c>
      <c r="G33" s="19" t="e">
        <f t="shared" ca="1" si="0"/>
        <v>#REF!</v>
      </c>
      <c r="H33" s="20">
        <v>1</v>
      </c>
      <c r="I33" s="21">
        <v>0</v>
      </c>
      <c r="J33" s="22">
        <v>5</v>
      </c>
      <c r="K33" s="22">
        <f t="shared" si="24"/>
        <v>0</v>
      </c>
      <c r="L33" s="23" t="str">
        <f>IF(SUMPRODUCT($J$64:K$64,$J33:K33)&lt;0.5, "Pending", IF(K33&lt;0.5, "Complete", "In Progress"))</f>
        <v>Complete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Complete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Complete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Complete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Complete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Complete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Complete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Complete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Complete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Complete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Complete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Complete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Complete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Complete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5</v>
      </c>
    </row>
    <row r="34" spans="1:83" x14ac:dyDescent="0.25">
      <c r="A34" s="16"/>
      <c r="B34" s="16"/>
      <c r="C34" s="16"/>
      <c r="D34" s="17"/>
      <c r="E34" s="164"/>
      <c r="F34" s="18" t="s">
        <v>132</v>
      </c>
      <c r="G34" s="19" t="e">
        <f t="shared" ca="1" si="0"/>
        <v>#REF!</v>
      </c>
      <c r="H34" s="20">
        <v>1</v>
      </c>
      <c r="I34" s="21">
        <v>0</v>
      </c>
      <c r="J34" s="22">
        <v>5</v>
      </c>
      <c r="K34" s="22">
        <f t="shared" si="24"/>
        <v>0</v>
      </c>
      <c r="L34" s="23" t="str">
        <f>IF(SUMPRODUCT($J$64:K$64,$J34:K34)&lt;0.5, "Pending", IF(K34&lt;0.5, "Complete", "In Progress"))</f>
        <v>Complete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Complete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Complete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Complete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Complete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Complete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Complete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Complete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Complete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Complete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Complete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Complete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Complete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Complete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5</v>
      </c>
    </row>
    <row r="35" spans="1:83" x14ac:dyDescent="0.25">
      <c r="A35" s="16"/>
      <c r="B35" s="16"/>
      <c r="C35" s="16"/>
      <c r="D35" s="17"/>
      <c r="E35" s="164"/>
      <c r="F35" s="18" t="s">
        <v>132</v>
      </c>
      <c r="G35" s="19" t="e">
        <f t="shared" ca="1" si="0"/>
        <v>#REF!</v>
      </c>
      <c r="H35" s="20">
        <v>1</v>
      </c>
      <c r="I35" s="21">
        <v>0</v>
      </c>
      <c r="J35" s="22">
        <v>5</v>
      </c>
      <c r="K35" s="22">
        <f t="shared" si="24"/>
        <v>0</v>
      </c>
      <c r="L35" s="23" t="str">
        <f>IF(SUMPRODUCT($J$64:K$64,$J35:K35)&lt;0.5, "Pending", IF(K35&lt;0.5, "Complete", "In Progress"))</f>
        <v>Complete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Complete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Complete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Complete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Complete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Complete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Complete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Complete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Complete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Complete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Complete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Complete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Complete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Complete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5</v>
      </c>
    </row>
    <row r="36" spans="1:83" x14ac:dyDescent="0.25">
      <c r="A36" s="16"/>
      <c r="B36" s="16"/>
      <c r="C36" s="16"/>
      <c r="D36" s="17"/>
      <c r="E36" s="164"/>
      <c r="F36" s="18" t="s">
        <v>132</v>
      </c>
      <c r="G36" s="19" t="e">
        <f t="shared" ca="1" si="0"/>
        <v>#REF!</v>
      </c>
      <c r="H36" s="20">
        <v>1</v>
      </c>
      <c r="I36" s="21">
        <v>0</v>
      </c>
      <c r="J36" s="22">
        <v>5</v>
      </c>
      <c r="K36" s="22">
        <f t="shared" si="24"/>
        <v>0</v>
      </c>
      <c r="L36" s="23" t="str">
        <f>IF(SUMPRODUCT($J$64:K$64,$J36:K36)&lt;0.5, "Pending", IF(K36&lt;0.5, "Complete", "In Progress"))</f>
        <v>Complete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Complete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Complete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Complete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Complete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Complete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Complete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Complete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Complete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Complete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Complete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Complete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Complete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Complete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5</v>
      </c>
    </row>
    <row r="37" spans="1:83" x14ac:dyDescent="0.25">
      <c r="A37" s="16"/>
      <c r="B37" s="16"/>
      <c r="C37" s="16"/>
      <c r="D37" s="17"/>
      <c r="E37" s="164"/>
      <c r="F37" s="18" t="s">
        <v>132</v>
      </c>
      <c r="G37" s="19" t="e">
        <f t="shared" ca="1" si="0"/>
        <v>#REF!</v>
      </c>
      <c r="H37" s="20">
        <v>1</v>
      </c>
      <c r="I37" s="21">
        <v>0</v>
      </c>
      <c r="J37" s="22">
        <v>5</v>
      </c>
      <c r="K37" s="22">
        <f t="shared" si="24"/>
        <v>0</v>
      </c>
      <c r="L37" s="23" t="str">
        <f>IF(SUMPRODUCT($J$64:K$64,$J37:K37)&lt;0.5, "Pending", IF(K37&lt;0.5, "Complete", "In Progress"))</f>
        <v>Complete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Complete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Complete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Complete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Complete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Complete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Complete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Complete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Complete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Complete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Complete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Complete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Complete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Complete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5</v>
      </c>
    </row>
    <row r="38" spans="1:83" x14ac:dyDescent="0.25">
      <c r="A38" s="16"/>
      <c r="B38" s="16"/>
      <c r="C38" s="16"/>
      <c r="D38" s="17"/>
      <c r="E38" s="164"/>
      <c r="F38" s="18" t="s">
        <v>132</v>
      </c>
      <c r="G38" s="19" t="e">
        <f t="shared" ca="1" si="0"/>
        <v>#REF!</v>
      </c>
      <c r="H38" s="20">
        <v>1</v>
      </c>
      <c r="I38" s="21">
        <v>0</v>
      </c>
      <c r="J38" s="22">
        <v>5</v>
      </c>
      <c r="K38" s="22">
        <f t="shared" si="24"/>
        <v>0</v>
      </c>
      <c r="L38" s="23" t="str">
        <f>IF(SUMPRODUCT($J$64:K$64,$J38:K38)&lt;0.5, "Pending", IF(K38&lt;0.5, "Complete", "In Progress"))</f>
        <v>Complete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Complete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Complete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Complete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Complete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Complete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Complete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Complete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Complete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Complete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Complete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Complete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Complete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Complete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5</v>
      </c>
    </row>
    <row r="39" spans="1:83" x14ac:dyDescent="0.25">
      <c r="A39" s="16"/>
      <c r="B39" s="16"/>
      <c r="C39" s="16"/>
      <c r="D39" s="17"/>
      <c r="E39" s="164"/>
      <c r="F39" s="18" t="s">
        <v>132</v>
      </c>
      <c r="G39" s="19" t="e">
        <f t="shared" ca="1" si="0"/>
        <v>#REF!</v>
      </c>
      <c r="H39" s="20">
        <v>1</v>
      </c>
      <c r="I39" s="21">
        <v>0</v>
      </c>
      <c r="J39" s="22">
        <v>5</v>
      </c>
      <c r="K39" s="22">
        <f t="shared" si="24"/>
        <v>0</v>
      </c>
      <c r="L39" s="23" t="str">
        <f>IF(SUMPRODUCT($J$64:K$64,$J39:K39)&lt;0.5, "Pending", IF(K39&lt;0.5, "Complete", "In Progress"))</f>
        <v>Complete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Complete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Complete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Complete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Complete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Complete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Complete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Complete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Complete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Complete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Complete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Complete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Complete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Complete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5</v>
      </c>
    </row>
    <row r="40" spans="1:83" x14ac:dyDescent="0.25">
      <c r="A40" s="16"/>
      <c r="B40" s="16"/>
      <c r="C40" s="16"/>
      <c r="D40" s="17"/>
      <c r="E40" s="164"/>
      <c r="F40" s="18" t="s">
        <v>132</v>
      </c>
      <c r="G40" s="19" t="e">
        <f t="shared" ca="1" si="0"/>
        <v>#REF!</v>
      </c>
      <c r="H40" s="20">
        <v>1</v>
      </c>
      <c r="I40" s="21">
        <v>0</v>
      </c>
      <c r="J40" s="22">
        <v>5</v>
      </c>
      <c r="K40" s="22">
        <f t="shared" si="24"/>
        <v>0</v>
      </c>
      <c r="L40" s="23" t="str">
        <f>IF(SUMPRODUCT($J$64:K$64,$J40:K40)&lt;0.5, "Pending", IF(K40&lt;0.5, "Complete", "In Progress"))</f>
        <v>Complete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Complete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Complete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Complete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Complete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Complete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Complete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Complete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Complete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Complete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Complete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Complete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Complete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Complete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5</v>
      </c>
    </row>
    <row r="41" spans="1:83" x14ac:dyDescent="0.25">
      <c r="A41" s="16"/>
      <c r="B41" s="16"/>
      <c r="C41" s="16"/>
      <c r="D41" s="17"/>
      <c r="E41" s="164"/>
      <c r="F41" s="18" t="s">
        <v>132</v>
      </c>
      <c r="G41" s="19" t="e">
        <f t="shared" ca="1" si="0"/>
        <v>#REF!</v>
      </c>
      <c r="H41" s="20">
        <v>1</v>
      </c>
      <c r="I41" s="21">
        <v>0</v>
      </c>
      <c r="J41" s="22">
        <v>5</v>
      </c>
      <c r="K41" s="22">
        <f t="shared" si="24"/>
        <v>0</v>
      </c>
      <c r="L41" s="23" t="str">
        <f>IF(SUMPRODUCT($J$64:K$64,$J41:K41)&lt;0.5, "Pending", IF(K41&lt;0.5, "Complete", "In Progress"))</f>
        <v>Complete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Complete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Complete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Complete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Complete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Complete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Complete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Complete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Complete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Complete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Complete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Complete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Complete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Complete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5</v>
      </c>
    </row>
    <row r="42" spans="1:83" x14ac:dyDescent="0.25">
      <c r="A42" s="16"/>
      <c r="B42" s="16"/>
      <c r="C42" s="16"/>
      <c r="D42" s="17"/>
      <c r="E42" s="164"/>
      <c r="F42" s="18" t="s">
        <v>132</v>
      </c>
      <c r="G42" s="19" t="e">
        <f t="shared" ca="1" si="0"/>
        <v>#REF!</v>
      </c>
      <c r="H42" s="20">
        <v>1</v>
      </c>
      <c r="I42" s="21">
        <v>0</v>
      </c>
      <c r="J42" s="22">
        <v>5</v>
      </c>
      <c r="K42" s="22">
        <f t="shared" si="24"/>
        <v>0</v>
      </c>
      <c r="L42" s="23" t="str">
        <f>IF(SUMPRODUCT($J$64:K$64,$J42:K42)&lt;0.5, "Pending", IF(K42&lt;0.5, "Complete", "In Progress"))</f>
        <v>Complete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Complete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Complete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Complete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Complete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Complete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Complete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Complete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Complete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Complete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Complete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Complete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Complete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Complete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5</v>
      </c>
    </row>
    <row r="43" spans="1:83" x14ac:dyDescent="0.25">
      <c r="A43" s="16"/>
      <c r="B43" s="16"/>
      <c r="C43" s="16"/>
      <c r="D43" s="17"/>
      <c r="E43" s="164"/>
      <c r="F43" s="18" t="s">
        <v>132</v>
      </c>
      <c r="G43" s="19" t="e">
        <f t="shared" ca="1" si="0"/>
        <v>#REF!</v>
      </c>
      <c r="H43" s="20">
        <v>1</v>
      </c>
      <c r="I43" s="21">
        <v>0</v>
      </c>
      <c r="J43" s="22">
        <v>5</v>
      </c>
      <c r="K43" s="22">
        <f t="shared" si="24"/>
        <v>0</v>
      </c>
      <c r="L43" s="23" t="str">
        <f>IF(SUMPRODUCT($J$64:K$64,$J43:K43)&lt;0.5, "Pending", IF(K43&lt;0.5, "Complete", "In Progress"))</f>
        <v>Complete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Complete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Complete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Complete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Complete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Complete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Complete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Complete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Complete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Complete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Complete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Complete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Complete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Complete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5</v>
      </c>
    </row>
    <row r="44" spans="1:83" x14ac:dyDescent="0.25">
      <c r="A44" s="16"/>
      <c r="B44" s="16"/>
      <c r="C44" s="16"/>
      <c r="D44" s="17"/>
      <c r="E44" s="164"/>
      <c r="F44" s="18" t="s">
        <v>132</v>
      </c>
      <c r="G44" s="19" t="e">
        <f t="shared" ca="1" si="0"/>
        <v>#REF!</v>
      </c>
      <c r="H44" s="20">
        <v>1</v>
      </c>
      <c r="I44" s="21">
        <v>0</v>
      </c>
      <c r="J44" s="22">
        <v>5</v>
      </c>
      <c r="K44" s="22">
        <f t="shared" si="24"/>
        <v>0</v>
      </c>
      <c r="L44" s="23" t="str">
        <f>IF(SUMPRODUCT($J$64:K$64,$J44:K44)&lt;0.5, "Pending", IF(K44&lt;0.5, "Complete", "In Progress"))</f>
        <v>Complete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Complete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Complete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Complete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Complete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Complete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Complete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Complete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Complete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Complete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Complete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Complete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Complete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Complete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5</v>
      </c>
    </row>
    <row r="45" spans="1:83" x14ac:dyDescent="0.25">
      <c r="A45" s="16"/>
      <c r="B45" s="16"/>
      <c r="C45" s="16"/>
      <c r="D45" s="17"/>
      <c r="E45" s="164"/>
      <c r="F45" s="18" t="s">
        <v>132</v>
      </c>
      <c r="G45" s="19" t="e">
        <f t="shared" ca="1" si="0"/>
        <v>#REF!</v>
      </c>
      <c r="H45" s="20">
        <v>1</v>
      </c>
      <c r="I45" s="21">
        <v>0</v>
      </c>
      <c r="J45" s="22">
        <v>5</v>
      </c>
      <c r="K45" s="22">
        <f t="shared" si="24"/>
        <v>0</v>
      </c>
      <c r="L45" s="23" t="str">
        <f>IF(SUMPRODUCT($J$64:K$64,$J45:K45)&lt;0.5, "Pending", IF(K45&lt;0.5, "Complete", "In Progress"))</f>
        <v>Complete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Complete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Complete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Complete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Complete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Complete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Complete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Complete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Complete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Complete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Complete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Complete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Complete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Complete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5</v>
      </c>
    </row>
    <row r="46" spans="1:83" x14ac:dyDescent="0.25">
      <c r="A46" s="16"/>
      <c r="B46" s="16"/>
      <c r="C46" s="16"/>
      <c r="D46" s="17"/>
      <c r="E46" s="164"/>
      <c r="F46" s="18" t="s">
        <v>132</v>
      </c>
      <c r="G46" s="19" t="e">
        <f t="shared" ca="1" si="0"/>
        <v>#REF!</v>
      </c>
      <c r="H46" s="20">
        <v>1</v>
      </c>
      <c r="I46" s="21">
        <v>0</v>
      </c>
      <c r="J46" s="22">
        <v>5</v>
      </c>
      <c r="K46" s="22">
        <f t="shared" si="24"/>
        <v>0</v>
      </c>
      <c r="L46" s="23" t="str">
        <f>IF(SUMPRODUCT($J$64:K$64,$J46:K46)&lt;0.5, "Pending", IF(K46&lt;0.5, "Complete", "In Progress"))</f>
        <v>Complete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Complete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Complete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Complete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Complete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Complete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Complete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Complete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Complete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Complete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Complete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Complete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Complete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Complete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5</v>
      </c>
    </row>
    <row r="47" spans="1:83" x14ac:dyDescent="0.25">
      <c r="A47" s="16"/>
      <c r="B47" s="16"/>
      <c r="C47" s="16"/>
      <c r="D47" s="17"/>
      <c r="E47" s="164"/>
      <c r="F47" s="18" t="s">
        <v>132</v>
      </c>
      <c r="G47" s="19" t="e">
        <f t="shared" ca="1" si="0"/>
        <v>#REF!</v>
      </c>
      <c r="H47" s="20">
        <v>1</v>
      </c>
      <c r="I47" s="21">
        <v>0</v>
      </c>
      <c r="J47" s="22">
        <v>5</v>
      </c>
      <c r="K47" s="22">
        <f t="shared" si="24"/>
        <v>0</v>
      </c>
      <c r="L47" s="23" t="str">
        <f>IF(SUMPRODUCT($J$64:K$64,$J47:K47)&lt;0.5, "Pending", IF(K47&lt;0.5, "Complete", "In Progress"))</f>
        <v>Complete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Complete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Complete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Complete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Complete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Complete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Complete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Complete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Complete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Complete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Complete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Complete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Complete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Complete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5</v>
      </c>
    </row>
    <row r="48" spans="1:83" x14ac:dyDescent="0.25">
      <c r="A48" s="16"/>
      <c r="B48" s="16"/>
      <c r="C48" s="16"/>
      <c r="D48" s="17"/>
      <c r="E48" s="164"/>
      <c r="F48" s="18" t="s">
        <v>132</v>
      </c>
      <c r="G48" s="19" t="e">
        <f t="shared" ca="1" si="0"/>
        <v>#REF!</v>
      </c>
      <c r="H48" s="20">
        <v>1</v>
      </c>
      <c r="I48" s="21">
        <v>0</v>
      </c>
      <c r="J48" s="22">
        <v>5</v>
      </c>
      <c r="K48" s="22">
        <f t="shared" si="24"/>
        <v>0</v>
      </c>
      <c r="L48" s="23" t="str">
        <f>IF(SUMPRODUCT($J$64:K$64,$J48:K48)&lt;0.5, "Pending", IF(K48&lt;0.5, "Complete", "In Progress"))</f>
        <v>Complete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Complete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Complete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Complete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Complete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Complete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Complete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Complete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Complete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Complete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Complete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Complete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Complete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Complete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5</v>
      </c>
    </row>
    <row r="49" spans="1:83" x14ac:dyDescent="0.25">
      <c r="A49" s="16"/>
      <c r="B49" s="16"/>
      <c r="C49" s="16"/>
      <c r="D49" s="17"/>
      <c r="E49" s="164"/>
      <c r="F49" s="18" t="s">
        <v>132</v>
      </c>
      <c r="G49" s="19" t="e">
        <f t="shared" ca="1" si="0"/>
        <v>#REF!</v>
      </c>
      <c r="H49" s="20">
        <v>1</v>
      </c>
      <c r="I49" s="21">
        <v>0</v>
      </c>
      <c r="J49" s="22">
        <v>5</v>
      </c>
      <c r="K49" s="22">
        <f t="shared" si="24"/>
        <v>0</v>
      </c>
      <c r="L49" s="23" t="str">
        <f>IF(SUMPRODUCT($J$64:K$64,$J49:K49)&lt;0.5, "Pending", IF(K49&lt;0.5, "Complete", "In Progress"))</f>
        <v>Complete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Complete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Complete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Complete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Complete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Complete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Complete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Complete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Complete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Complete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Complete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Complete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Complete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Complete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5</v>
      </c>
    </row>
    <row r="50" spans="1:83" x14ac:dyDescent="0.25">
      <c r="A50" s="16"/>
      <c r="B50" s="16"/>
      <c r="C50" s="16"/>
      <c r="D50" s="17"/>
      <c r="E50" s="164"/>
      <c r="F50" s="18" t="s">
        <v>132</v>
      </c>
      <c r="G50" s="19" t="e">
        <f t="shared" ca="1" si="0"/>
        <v>#REF!</v>
      </c>
      <c r="H50" s="20">
        <v>1</v>
      </c>
      <c r="I50" s="21">
        <v>0</v>
      </c>
      <c r="J50" s="22">
        <v>5</v>
      </c>
      <c r="K50" s="22">
        <f t="shared" si="24"/>
        <v>0</v>
      </c>
      <c r="L50" s="23" t="str">
        <f>IF(SUMPRODUCT($J$64:K$64,$J50:K50)&lt;0.5, "Pending", IF(K50&lt;0.5, "Complete", "In Progress"))</f>
        <v>Complete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Complete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Complete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Complete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Complete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Complete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Complete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Complete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Complete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Complete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Complete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Complete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Complete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Complete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5</v>
      </c>
    </row>
    <row r="51" spans="1:83" x14ac:dyDescent="0.25">
      <c r="A51" s="16"/>
      <c r="B51" s="16"/>
      <c r="C51" s="16"/>
      <c r="D51" s="17"/>
      <c r="E51" s="164"/>
      <c r="F51" s="18" t="s">
        <v>132</v>
      </c>
      <c r="G51" s="19" t="e">
        <f t="shared" ca="1" si="0"/>
        <v>#REF!</v>
      </c>
      <c r="H51" s="20">
        <v>1</v>
      </c>
      <c r="I51" s="21">
        <v>0</v>
      </c>
      <c r="J51" s="22">
        <v>5</v>
      </c>
      <c r="K51" s="22">
        <f t="shared" si="24"/>
        <v>0</v>
      </c>
      <c r="L51" s="23" t="str">
        <f>IF(SUMPRODUCT($J$64:K$64,$J51:K51)&lt;0.5, "Pending", IF(K51&lt;0.5, "Complete", "In Progress"))</f>
        <v>Complete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Complete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Complete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Complete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Complete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Complete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Complete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Complete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Complete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Complete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Complete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Complete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Complete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Complete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5</v>
      </c>
    </row>
    <row r="52" spans="1:83" x14ac:dyDescent="0.25">
      <c r="A52" s="16"/>
      <c r="B52" s="16"/>
      <c r="C52" s="16"/>
      <c r="D52" s="17"/>
      <c r="E52" s="164"/>
      <c r="F52" s="18" t="s">
        <v>132</v>
      </c>
      <c r="G52" s="19" t="e">
        <f t="shared" ca="1" si="0"/>
        <v>#REF!</v>
      </c>
      <c r="H52" s="20">
        <v>1</v>
      </c>
      <c r="I52" s="21">
        <v>0</v>
      </c>
      <c r="J52" s="22">
        <v>5</v>
      </c>
      <c r="K52" s="22">
        <f t="shared" si="24"/>
        <v>0</v>
      </c>
      <c r="L52" s="23" t="str">
        <f>IF(SUMPRODUCT($J$64:K$64,$J52:K52)&lt;0.5, "Pending", IF(K52&lt;0.5, "Complete", "In Progress"))</f>
        <v>Complete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Complete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Complete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Complete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Complete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Complete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Complete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Complete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Complete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Complete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Complete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Complete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Complete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Complete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5</v>
      </c>
    </row>
    <row r="53" spans="1:83" x14ac:dyDescent="0.25">
      <c r="A53" s="16"/>
      <c r="B53" s="16"/>
      <c r="C53" s="16"/>
      <c r="D53" s="17"/>
      <c r="E53" s="164"/>
      <c r="F53" s="18" t="s">
        <v>132</v>
      </c>
      <c r="G53" s="19" t="e">
        <f t="shared" ca="1" si="0"/>
        <v>#REF!</v>
      </c>
      <c r="H53" s="20">
        <v>1</v>
      </c>
      <c r="I53" s="21">
        <v>0</v>
      </c>
      <c r="J53" s="22">
        <v>5</v>
      </c>
      <c r="K53" s="22">
        <f t="shared" si="24"/>
        <v>0</v>
      </c>
      <c r="L53" s="23" t="str">
        <f>IF(SUMPRODUCT($J$64:K$64,$J53:K53)&lt;0.5, "Pending", IF(K53&lt;0.5, "Complete", "In Progress"))</f>
        <v>Complete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Complete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Complete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Complete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Complete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Complete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Complete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Complete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Complete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Complete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Complete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Complete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Complete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Complete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5</v>
      </c>
    </row>
    <row r="54" spans="1:83" x14ac:dyDescent="0.25">
      <c r="A54" s="16"/>
      <c r="B54" s="16"/>
      <c r="C54" s="16"/>
      <c r="D54" s="17"/>
      <c r="E54" s="164"/>
      <c r="F54" s="18" t="s">
        <v>132</v>
      </c>
      <c r="G54" s="19" t="e">
        <f t="shared" ca="1" si="0"/>
        <v>#REF!</v>
      </c>
      <c r="H54" s="20">
        <v>1</v>
      </c>
      <c r="I54" s="21">
        <v>0</v>
      </c>
      <c r="J54" s="22">
        <v>5</v>
      </c>
      <c r="K54" s="22">
        <f t="shared" si="24"/>
        <v>0</v>
      </c>
      <c r="L54" s="23" t="str">
        <f>IF(SUMPRODUCT($J$64:K$64,$J54:K54)&lt;0.5, "Pending", IF(K54&lt;0.5, "Complete", "In Progress"))</f>
        <v>Complete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Complete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Complete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Complete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Complete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Complete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Complete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Complete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Complete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Complete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Complete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Complete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Complete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Complete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5</v>
      </c>
    </row>
    <row r="55" spans="1:83" x14ac:dyDescent="0.25">
      <c r="A55" s="16"/>
      <c r="B55" s="16"/>
      <c r="C55" s="16"/>
      <c r="D55" s="17"/>
      <c r="E55" s="164"/>
      <c r="F55" s="18" t="s">
        <v>132</v>
      </c>
      <c r="G55" s="19" t="e">
        <f t="shared" ca="1" si="0"/>
        <v>#REF!</v>
      </c>
      <c r="H55" s="20">
        <v>1</v>
      </c>
      <c r="I55" s="21">
        <v>0</v>
      </c>
      <c r="J55" s="22">
        <v>5</v>
      </c>
      <c r="K55" s="22">
        <f t="shared" si="24"/>
        <v>0</v>
      </c>
      <c r="L55" s="23" t="str">
        <f>IF(SUMPRODUCT($J$64:K$64,$J55:K55)&lt;0.5, "Pending", IF(K55&lt;0.5, "Complete", "In Progress"))</f>
        <v>Complete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Complete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Complete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Complete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Complete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Complete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Complete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Complete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Complete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Complete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Complete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Complete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Complete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Complete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5</v>
      </c>
    </row>
    <row r="56" spans="1:83" x14ac:dyDescent="0.25">
      <c r="A56" s="16"/>
      <c r="B56" s="16"/>
      <c r="C56" s="16"/>
      <c r="D56" s="17"/>
      <c r="E56" s="164"/>
      <c r="F56" s="18" t="s">
        <v>132</v>
      </c>
      <c r="G56" s="19" t="e">
        <f t="shared" ca="1" si="0"/>
        <v>#REF!</v>
      </c>
      <c r="H56" s="20">
        <v>1</v>
      </c>
      <c r="I56" s="21">
        <v>0</v>
      </c>
      <c r="J56" s="22">
        <v>5</v>
      </c>
      <c r="K56" s="22">
        <f t="shared" si="24"/>
        <v>0</v>
      </c>
      <c r="L56" s="23" t="str">
        <f>IF(SUMPRODUCT($J$64:K$64,$J56:K56)&lt;0.5, "Pending", IF(K56&lt;0.5, "Complete", "In Progress"))</f>
        <v>Complete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Complete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Complete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Complete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Complete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Complete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Complete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Complete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Complete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Complete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Complete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Complete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Complete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Complete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5</v>
      </c>
    </row>
    <row r="57" spans="1:83" x14ac:dyDescent="0.25">
      <c r="A57" s="16"/>
      <c r="B57" s="16"/>
      <c r="C57" s="16"/>
      <c r="D57" s="17"/>
      <c r="E57" s="164"/>
      <c r="F57" s="18" t="s">
        <v>132</v>
      </c>
      <c r="G57" s="19" t="e">
        <f t="shared" ca="1" si="0"/>
        <v>#REF!</v>
      </c>
      <c r="H57" s="20">
        <v>1</v>
      </c>
      <c r="I57" s="21">
        <v>0</v>
      </c>
      <c r="J57" s="22">
        <v>5</v>
      </c>
      <c r="K57" s="22">
        <f t="shared" si="24"/>
        <v>0</v>
      </c>
      <c r="L57" s="23" t="str">
        <f>IF(SUMPRODUCT($J$64:K$64,$J57:K57)&lt;0.5, "Pending", IF(K57&lt;0.5, "Complete", "In Progress"))</f>
        <v>Complete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Complete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Complete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Complete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Complete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Complete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Complete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Complete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Complete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Complete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Complete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Complete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Complete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Complete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5</v>
      </c>
    </row>
    <row r="58" spans="1:83" x14ac:dyDescent="0.25">
      <c r="A58" s="16"/>
      <c r="B58" s="16"/>
      <c r="C58" s="16"/>
      <c r="D58" s="17"/>
      <c r="E58" s="164"/>
      <c r="F58" s="18" t="s">
        <v>132</v>
      </c>
      <c r="G58" s="19" t="e">
        <f t="shared" ca="1" si="0"/>
        <v>#REF!</v>
      </c>
      <c r="H58" s="20">
        <v>1</v>
      </c>
      <c r="I58" s="21">
        <v>0</v>
      </c>
      <c r="J58" s="22">
        <v>5</v>
      </c>
      <c r="K58" s="22">
        <f t="shared" si="24"/>
        <v>0</v>
      </c>
      <c r="L58" s="23" t="str">
        <f>IF(SUMPRODUCT($J$64:K$64,$J58:K58)&lt;0.5, "Pending", IF(K58&lt;0.5, "Complete", "In Progress"))</f>
        <v>Complete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Complete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Complete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Complete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Complete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Complete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Complete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Complete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Complete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Complete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Complete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Complete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Complete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Complete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5</v>
      </c>
    </row>
    <row r="59" spans="1:83" x14ac:dyDescent="0.25">
      <c r="A59" s="16"/>
      <c r="B59" s="16"/>
      <c r="C59" s="16"/>
      <c r="D59" s="17"/>
      <c r="E59" s="164"/>
      <c r="F59" s="18" t="s">
        <v>132</v>
      </c>
      <c r="G59" s="19" t="e">
        <f t="shared" ca="1" si="0"/>
        <v>#REF!</v>
      </c>
      <c r="H59" s="20">
        <v>1</v>
      </c>
      <c r="I59" s="21">
        <v>0</v>
      </c>
      <c r="J59" s="22">
        <v>5</v>
      </c>
      <c r="K59" s="22">
        <f t="shared" si="24"/>
        <v>0</v>
      </c>
      <c r="L59" s="23" t="str">
        <f>IF(SUMPRODUCT($J$64:K$64,$J59:K59)&lt;0.5, "Pending", IF(K59&lt;0.5, "Complete", "In Progress"))</f>
        <v>Complete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Complete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Complete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Complete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Complete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Complete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Complete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Complete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Complete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Complete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Complete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Complete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Complete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Complete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5</v>
      </c>
    </row>
    <row r="60" spans="1:83" x14ac:dyDescent="0.25">
      <c r="A60" s="16"/>
      <c r="B60" s="16"/>
      <c r="C60" s="16"/>
      <c r="D60" s="17"/>
      <c r="E60" s="164"/>
      <c r="F60" s="18" t="s">
        <v>132</v>
      </c>
      <c r="G60" s="19" t="e">
        <f t="shared" ca="1" si="0"/>
        <v>#REF!</v>
      </c>
      <c r="H60" s="20">
        <v>1</v>
      </c>
      <c r="I60" s="21">
        <v>0</v>
      </c>
      <c r="J60" s="22">
        <v>5</v>
      </c>
      <c r="K60" s="22">
        <f t="shared" si="24"/>
        <v>0</v>
      </c>
      <c r="L60" s="23" t="str">
        <f>IF(SUMPRODUCT($J$64:K$64,$J60:K60)&lt;0.5, "Pending", IF(K60&lt;0.5, "Complete", "In Progress"))</f>
        <v>Complete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Complete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Complete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Complete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Complete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Complete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Complete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Complete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Complete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Complete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Complete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Complete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Complete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Complete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5</v>
      </c>
    </row>
    <row r="61" spans="1:83" x14ac:dyDescent="0.25">
      <c r="A61" s="16"/>
      <c r="B61" s="16"/>
      <c r="C61" s="16"/>
      <c r="D61" s="17"/>
      <c r="E61" s="163"/>
      <c r="F61" s="18" t="s">
        <v>48</v>
      </c>
      <c r="G61" s="19" t="e">
        <f t="shared" ca="1" si="0"/>
        <v>#REF!</v>
      </c>
      <c r="H61" s="20">
        <v>1</v>
      </c>
      <c r="I61" s="21">
        <v>0</v>
      </c>
      <c r="J61" s="22">
        <v>5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Complete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Complete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Complete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Complete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Complete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Complete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Complete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Complete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Complete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Complete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Complete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Complete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Complete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Complete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5</v>
      </c>
    </row>
    <row r="62" spans="1:83" hidden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5">
      <c r="A63" s="1"/>
      <c r="B63" s="1"/>
      <c r="C63" s="1"/>
      <c r="D63" s="1"/>
      <c r="E63" s="1" t="s">
        <v>154</v>
      </c>
      <c r="F63" s="1"/>
      <c r="G63" s="1"/>
      <c r="H63" s="1"/>
      <c r="I63" s="1"/>
      <c r="J63" s="172" t="s">
        <v>9</v>
      </c>
      <c r="K63" s="173"/>
      <c r="L63" s="29">
        <v>1</v>
      </c>
      <c r="M63" s="170" t="s">
        <v>9</v>
      </c>
      <c r="N63" s="174"/>
      <c r="O63" s="29">
        <f>L63+1</f>
        <v>2</v>
      </c>
      <c r="P63" s="170" t="s">
        <v>9</v>
      </c>
      <c r="Q63" s="174"/>
      <c r="R63" s="29">
        <f>O63+1</f>
        <v>3</v>
      </c>
      <c r="S63" s="170" t="s">
        <v>9</v>
      </c>
      <c r="T63" s="174"/>
      <c r="U63" s="29">
        <f>R63+1</f>
        <v>4</v>
      </c>
      <c r="V63" s="170" t="s">
        <v>9</v>
      </c>
      <c r="W63" s="174"/>
      <c r="X63" s="29">
        <f>U63+1</f>
        <v>5</v>
      </c>
      <c r="Y63" s="170" t="s">
        <v>9</v>
      </c>
      <c r="Z63" s="170"/>
      <c r="AA63" s="29">
        <f>X63+1</f>
        <v>6</v>
      </c>
      <c r="AB63" s="170" t="s">
        <v>9</v>
      </c>
      <c r="AC63" s="170"/>
      <c r="AD63" s="29">
        <f>AA63+1</f>
        <v>7</v>
      </c>
      <c r="AE63" s="170" t="s">
        <v>9</v>
      </c>
      <c r="AF63" s="170"/>
      <c r="AG63" s="29">
        <f>AD63+1</f>
        <v>8</v>
      </c>
      <c r="AH63" s="170" t="s">
        <v>9</v>
      </c>
      <c r="AI63" s="170"/>
      <c r="AJ63" s="29">
        <f>AG63+1</f>
        <v>9</v>
      </c>
      <c r="AK63" s="170" t="s">
        <v>9</v>
      </c>
      <c r="AL63" s="170"/>
      <c r="AM63" s="29">
        <f>AJ63+1</f>
        <v>10</v>
      </c>
      <c r="AN63" s="170" t="s">
        <v>9</v>
      </c>
      <c r="AO63" s="170"/>
      <c r="AP63" s="29">
        <f>AM63+1</f>
        <v>11</v>
      </c>
      <c r="AQ63" s="170" t="s">
        <v>9</v>
      </c>
      <c r="AR63" s="170"/>
      <c r="AS63" s="29">
        <f>AP63+1</f>
        <v>12</v>
      </c>
      <c r="AT63" s="170" t="s">
        <v>9</v>
      </c>
      <c r="AU63" s="170"/>
      <c r="AV63" s="29">
        <f>AS63+1</f>
        <v>13</v>
      </c>
      <c r="AW63" s="170" t="s">
        <v>9</v>
      </c>
      <c r="AX63" s="170"/>
      <c r="AY63" s="29">
        <f>AV63+1</f>
        <v>14</v>
      </c>
      <c r="AZ63" s="170" t="s">
        <v>9</v>
      </c>
      <c r="BA63" s="174"/>
      <c r="BB63" s="29" t="e">
        <f>#REF!+1</f>
        <v>#REF!</v>
      </c>
      <c r="BC63" s="170" t="s">
        <v>9</v>
      </c>
      <c r="BD63" s="174"/>
      <c r="BE63" s="29" t="e">
        <f>BB63+1</f>
        <v>#REF!</v>
      </c>
      <c r="BF63" s="170" t="s">
        <v>9</v>
      </c>
      <c r="BG63" s="174"/>
      <c r="BH63" s="29" t="e">
        <f>BE63+1</f>
        <v>#REF!</v>
      </c>
      <c r="BI63" s="170" t="s">
        <v>9</v>
      </c>
      <c r="BJ63" s="174"/>
      <c r="BK63" s="29" t="e">
        <f>BH63+1</f>
        <v>#REF!</v>
      </c>
      <c r="BL63" s="170" t="s">
        <v>9</v>
      </c>
      <c r="BM63" s="174"/>
      <c r="BN63" s="29" t="e">
        <f>BK63+1</f>
        <v>#REF!</v>
      </c>
      <c r="BO63" s="170" t="s">
        <v>9</v>
      </c>
      <c r="BP63" s="174"/>
      <c r="BQ63" s="29" t="e">
        <f>BN63+1</f>
        <v>#REF!</v>
      </c>
      <c r="BR63" s="170" t="s">
        <v>9</v>
      </c>
      <c r="BS63" s="174"/>
      <c r="BT63" s="29" t="e">
        <f>BQ63+1</f>
        <v>#REF!</v>
      </c>
      <c r="BU63" s="170" t="s">
        <v>9</v>
      </c>
      <c r="BV63" s="174"/>
      <c r="BW63" s="29" t="e">
        <f>BT63+1</f>
        <v>#REF!</v>
      </c>
      <c r="BX63" s="170" t="s">
        <v>9</v>
      </c>
      <c r="BY63" s="174"/>
      <c r="BZ63" s="29" t="e">
        <f>BW63+1</f>
        <v>#REF!</v>
      </c>
      <c r="CA63" s="170" t="s">
        <v>9</v>
      </c>
      <c r="CB63" s="174"/>
      <c r="CC63" s="29" t="e">
        <f>BZ63+1</f>
        <v>#REF!</v>
      </c>
      <c r="CD63" s="29"/>
      <c r="CE63" s="30"/>
    </row>
    <row r="64" spans="1:83" hidden="1" x14ac:dyDescent="0.25">
      <c r="A64" s="31"/>
      <c r="B64" s="31"/>
      <c r="C64" s="31"/>
      <c r="D64" s="31"/>
      <c r="E64" s="31" t="s">
        <v>11</v>
      </c>
      <c r="F64" s="31"/>
      <c r="G64" s="31"/>
      <c r="H64" s="31"/>
      <c r="I64" s="31"/>
      <c r="J64" s="147">
        <v>1</v>
      </c>
      <c r="K64" s="147">
        <v>0</v>
      </c>
      <c r="L64" s="31">
        <v>0</v>
      </c>
      <c r="M64" s="31">
        <v>1</v>
      </c>
      <c r="N64" s="31">
        <v>0</v>
      </c>
      <c r="O64" s="31">
        <v>0</v>
      </c>
      <c r="P64" s="31">
        <v>1</v>
      </c>
      <c r="Q64" s="31">
        <v>0</v>
      </c>
      <c r="R64" s="31">
        <v>0</v>
      </c>
      <c r="S64" s="31">
        <v>1</v>
      </c>
      <c r="T64" s="31">
        <v>0</v>
      </c>
      <c r="U64" s="31">
        <v>0</v>
      </c>
      <c r="V64" s="31">
        <v>1</v>
      </c>
      <c r="W64" s="31">
        <v>0</v>
      </c>
      <c r="X64" s="31">
        <v>0</v>
      </c>
      <c r="Y64" s="31">
        <v>1</v>
      </c>
      <c r="Z64" s="31">
        <v>0</v>
      </c>
      <c r="AA64" s="31">
        <v>0</v>
      </c>
      <c r="AB64" s="31">
        <v>1</v>
      </c>
      <c r="AC64" s="31">
        <v>0</v>
      </c>
      <c r="AD64" s="31">
        <v>0</v>
      </c>
      <c r="AE64" s="31">
        <v>1</v>
      </c>
      <c r="AF64" s="31">
        <v>0</v>
      </c>
      <c r="AG64" s="31">
        <v>0</v>
      </c>
      <c r="AH64" s="31">
        <v>1</v>
      </c>
      <c r="AI64" s="31">
        <v>0</v>
      </c>
      <c r="AJ64" s="31">
        <v>0</v>
      </c>
      <c r="AK64" s="31">
        <v>1</v>
      </c>
      <c r="AL64" s="31">
        <v>0</v>
      </c>
      <c r="AM64" s="31">
        <v>0</v>
      </c>
      <c r="AN64" s="31">
        <v>1</v>
      </c>
      <c r="AO64" s="31">
        <v>0</v>
      </c>
      <c r="AP64" s="31">
        <v>0</v>
      </c>
      <c r="AQ64" s="31">
        <v>1</v>
      </c>
      <c r="AR64" s="31">
        <v>0</v>
      </c>
      <c r="AS64" s="31">
        <v>0</v>
      </c>
      <c r="AT64" s="31">
        <v>1</v>
      </c>
      <c r="AU64" s="31">
        <v>0</v>
      </c>
      <c r="AV64" s="31">
        <v>0</v>
      </c>
      <c r="AW64" s="31">
        <v>1</v>
      </c>
      <c r="AX64" s="31">
        <v>0</v>
      </c>
      <c r="AY64" s="31">
        <v>0</v>
      </c>
      <c r="AZ64" s="31">
        <v>1</v>
      </c>
      <c r="BA64" s="31">
        <v>0</v>
      </c>
      <c r="BB64" s="31">
        <v>0</v>
      </c>
      <c r="BC64" s="31">
        <v>1</v>
      </c>
      <c r="BD64" s="31">
        <v>0</v>
      </c>
      <c r="BE64" s="31">
        <v>0</v>
      </c>
      <c r="BF64" s="31">
        <v>1</v>
      </c>
      <c r="BG64" s="31">
        <v>0</v>
      </c>
      <c r="BH64" s="31">
        <v>0</v>
      </c>
      <c r="BI64" s="31">
        <v>1</v>
      </c>
      <c r="BJ64" s="31">
        <v>0</v>
      </c>
      <c r="BK64" s="31">
        <v>0</v>
      </c>
      <c r="BL64" s="31">
        <v>1</v>
      </c>
      <c r="BM64" s="31">
        <v>0</v>
      </c>
      <c r="BN64" s="31">
        <v>0</v>
      </c>
      <c r="BO64" s="31">
        <v>1</v>
      </c>
      <c r="BP64" s="31">
        <v>0</v>
      </c>
      <c r="BQ64" s="31">
        <v>0</v>
      </c>
      <c r="BR64" s="31">
        <v>1</v>
      </c>
      <c r="BS64" s="31">
        <v>0</v>
      </c>
      <c r="BT64" s="31">
        <v>0</v>
      </c>
      <c r="BU64" s="31">
        <v>1</v>
      </c>
      <c r="BV64" s="31">
        <v>0</v>
      </c>
      <c r="BW64" s="31">
        <v>0</v>
      </c>
      <c r="BX64" s="31">
        <v>1</v>
      </c>
      <c r="BY64" s="31">
        <v>0</v>
      </c>
      <c r="BZ64" s="31">
        <v>0</v>
      </c>
      <c r="CA64" s="31">
        <v>1</v>
      </c>
      <c r="CB64" s="31">
        <v>0</v>
      </c>
      <c r="CC64" s="31">
        <v>0</v>
      </c>
      <c r="CD64" s="31"/>
      <c r="CE64" s="32"/>
    </row>
    <row r="65" spans="1:83" hidden="1" x14ac:dyDescent="0.25">
      <c r="A65" s="33"/>
      <c r="B65" s="33"/>
      <c r="C65" s="33"/>
      <c r="D65" s="33"/>
      <c r="E65" s="31" t="s">
        <v>13</v>
      </c>
      <c r="F65" s="31"/>
      <c r="G65" s="31"/>
      <c r="H65" s="31"/>
      <c r="I65" s="31"/>
      <c r="J65" s="24">
        <v>0</v>
      </c>
      <c r="K65" s="147">
        <v>1</v>
      </c>
      <c r="L65" s="31">
        <v>0</v>
      </c>
      <c r="M65" s="34">
        <v>0</v>
      </c>
      <c r="N65" s="31">
        <v>1</v>
      </c>
      <c r="O65" s="31">
        <v>0</v>
      </c>
      <c r="P65" s="34">
        <v>0</v>
      </c>
      <c r="Q65" s="31">
        <v>1</v>
      </c>
      <c r="R65" s="31">
        <v>0</v>
      </c>
      <c r="S65" s="34">
        <v>0</v>
      </c>
      <c r="T65" s="31">
        <v>1</v>
      </c>
      <c r="U65" s="31">
        <v>0</v>
      </c>
      <c r="V65" s="34">
        <v>0</v>
      </c>
      <c r="W65" s="31">
        <v>1</v>
      </c>
      <c r="X65" s="31">
        <v>0</v>
      </c>
      <c r="Y65" s="34">
        <v>0</v>
      </c>
      <c r="Z65" s="31">
        <v>1</v>
      </c>
      <c r="AA65" s="31">
        <v>0</v>
      </c>
      <c r="AB65" s="34">
        <v>0</v>
      </c>
      <c r="AC65" s="31">
        <v>1</v>
      </c>
      <c r="AD65" s="31">
        <v>0</v>
      </c>
      <c r="AE65" s="34">
        <v>0</v>
      </c>
      <c r="AF65" s="31">
        <v>1</v>
      </c>
      <c r="AG65" s="31">
        <v>0</v>
      </c>
      <c r="AH65" s="34">
        <v>0</v>
      </c>
      <c r="AI65" s="31">
        <v>1</v>
      </c>
      <c r="AJ65" s="31">
        <v>0</v>
      </c>
      <c r="AK65" s="34">
        <v>0</v>
      </c>
      <c r="AL65" s="31">
        <v>1</v>
      </c>
      <c r="AM65" s="31">
        <v>0</v>
      </c>
      <c r="AN65" s="34">
        <v>0</v>
      </c>
      <c r="AO65" s="31">
        <v>1</v>
      </c>
      <c r="AP65" s="31">
        <v>0</v>
      </c>
      <c r="AQ65" s="34">
        <v>0</v>
      </c>
      <c r="AR65" s="31">
        <v>1</v>
      </c>
      <c r="AS65" s="31">
        <v>0</v>
      </c>
      <c r="AT65" s="34">
        <v>0</v>
      </c>
      <c r="AU65" s="31">
        <v>1</v>
      </c>
      <c r="AV65" s="31">
        <v>0</v>
      </c>
      <c r="AW65" s="34">
        <v>0</v>
      </c>
      <c r="AX65" s="31">
        <v>1</v>
      </c>
      <c r="AY65" s="31">
        <v>0</v>
      </c>
      <c r="AZ65" s="34">
        <v>0</v>
      </c>
      <c r="BA65" s="31">
        <v>1</v>
      </c>
      <c r="BB65" s="31">
        <v>0</v>
      </c>
      <c r="BC65" s="34">
        <v>0</v>
      </c>
      <c r="BD65" s="31">
        <v>1</v>
      </c>
      <c r="BE65" s="31">
        <v>0</v>
      </c>
      <c r="BF65" s="34">
        <v>0</v>
      </c>
      <c r="BG65" s="31">
        <v>1</v>
      </c>
      <c r="BH65" s="31">
        <v>0</v>
      </c>
      <c r="BI65" s="34">
        <v>0</v>
      </c>
      <c r="BJ65" s="31">
        <v>1</v>
      </c>
      <c r="BK65" s="31">
        <v>0</v>
      </c>
      <c r="BL65" s="34">
        <v>0</v>
      </c>
      <c r="BM65" s="31">
        <v>1</v>
      </c>
      <c r="BN65" s="31">
        <v>0</v>
      </c>
      <c r="BO65" s="34">
        <v>0</v>
      </c>
      <c r="BP65" s="31">
        <v>1</v>
      </c>
      <c r="BQ65" s="31">
        <v>0</v>
      </c>
      <c r="BR65" s="34">
        <v>0</v>
      </c>
      <c r="BS65" s="31">
        <v>1</v>
      </c>
      <c r="BT65" s="31">
        <v>0</v>
      </c>
      <c r="BU65" s="34">
        <v>0</v>
      </c>
      <c r="BV65" s="31">
        <v>1</v>
      </c>
      <c r="BW65" s="31">
        <v>0</v>
      </c>
      <c r="BX65" s="34">
        <v>0</v>
      </c>
      <c r="BY65" s="31">
        <v>1</v>
      </c>
      <c r="BZ65" s="31">
        <v>0</v>
      </c>
      <c r="CA65" s="34">
        <v>0</v>
      </c>
      <c r="CB65" s="31">
        <v>1</v>
      </c>
      <c r="CC65" s="31">
        <v>0</v>
      </c>
      <c r="CD65" s="31"/>
    </row>
    <row r="66" spans="1:83" hidden="1" x14ac:dyDescent="0.25">
      <c r="A66" s="31"/>
      <c r="B66" s="31"/>
      <c r="C66" s="31"/>
      <c r="D66" s="31"/>
      <c r="E66" s="35" t="s">
        <v>14</v>
      </c>
      <c r="F66" s="31"/>
      <c r="G66" s="31"/>
      <c r="H66" s="31"/>
      <c r="I66" s="31"/>
      <c r="J66" s="24">
        <v>0</v>
      </c>
      <c r="K66" s="147">
        <v>0</v>
      </c>
      <c r="L66" s="31">
        <v>1</v>
      </c>
      <c r="M66" s="34">
        <v>0</v>
      </c>
      <c r="N66" s="31">
        <v>0</v>
      </c>
      <c r="O66" s="31">
        <v>1</v>
      </c>
      <c r="P66" s="34">
        <v>0</v>
      </c>
      <c r="Q66" s="31">
        <v>0</v>
      </c>
      <c r="R66" s="31">
        <v>1</v>
      </c>
      <c r="S66" s="34">
        <v>0</v>
      </c>
      <c r="T66" s="31">
        <v>0</v>
      </c>
      <c r="U66" s="31">
        <v>1</v>
      </c>
      <c r="V66" s="34">
        <v>0</v>
      </c>
      <c r="W66" s="31">
        <v>0</v>
      </c>
      <c r="X66" s="31">
        <v>1</v>
      </c>
      <c r="Y66" s="34">
        <v>0</v>
      </c>
      <c r="Z66" s="31">
        <v>0</v>
      </c>
      <c r="AA66" s="31">
        <v>1</v>
      </c>
      <c r="AB66" s="34">
        <v>0</v>
      </c>
      <c r="AC66" s="31">
        <v>0</v>
      </c>
      <c r="AD66" s="31">
        <v>1</v>
      </c>
      <c r="AE66" s="34">
        <v>0</v>
      </c>
      <c r="AF66" s="31">
        <v>0</v>
      </c>
      <c r="AG66" s="31">
        <v>1</v>
      </c>
      <c r="AH66" s="34">
        <v>0</v>
      </c>
      <c r="AI66" s="31">
        <v>0</v>
      </c>
      <c r="AJ66" s="31">
        <v>1</v>
      </c>
      <c r="AK66" s="34">
        <v>0</v>
      </c>
      <c r="AL66" s="31">
        <v>0</v>
      </c>
      <c r="AM66" s="31">
        <v>1</v>
      </c>
      <c r="AN66" s="34">
        <v>0</v>
      </c>
      <c r="AO66" s="31">
        <v>0</v>
      </c>
      <c r="AP66" s="31">
        <v>1</v>
      </c>
      <c r="AQ66" s="34">
        <v>0</v>
      </c>
      <c r="AR66" s="31">
        <v>0</v>
      </c>
      <c r="AS66" s="31">
        <v>1</v>
      </c>
      <c r="AT66" s="34">
        <v>0</v>
      </c>
      <c r="AU66" s="31">
        <v>0</v>
      </c>
      <c r="AV66" s="31">
        <v>1</v>
      </c>
      <c r="AW66" s="34">
        <v>0</v>
      </c>
      <c r="AX66" s="31">
        <v>0</v>
      </c>
      <c r="AY66" s="31">
        <v>1</v>
      </c>
      <c r="AZ66" s="34">
        <v>0</v>
      </c>
      <c r="BA66" s="31">
        <v>0</v>
      </c>
      <c r="BB66" s="31">
        <v>1</v>
      </c>
      <c r="BC66" s="34">
        <v>0</v>
      </c>
      <c r="BD66" s="31">
        <v>0</v>
      </c>
      <c r="BE66" s="31">
        <v>1</v>
      </c>
      <c r="BF66" s="34">
        <v>0</v>
      </c>
      <c r="BG66" s="31">
        <v>0</v>
      </c>
      <c r="BH66" s="31">
        <v>1</v>
      </c>
      <c r="BI66" s="34">
        <v>0</v>
      </c>
      <c r="BJ66" s="31">
        <v>0</v>
      </c>
      <c r="BK66" s="31">
        <v>1</v>
      </c>
      <c r="BL66" s="34">
        <v>0</v>
      </c>
      <c r="BM66" s="31">
        <v>0</v>
      </c>
      <c r="BN66" s="31">
        <v>1</v>
      </c>
      <c r="BO66" s="34">
        <v>0</v>
      </c>
      <c r="BP66" s="31">
        <v>0</v>
      </c>
      <c r="BQ66" s="31">
        <v>1</v>
      </c>
      <c r="BR66" s="34">
        <v>0</v>
      </c>
      <c r="BS66" s="31">
        <v>0</v>
      </c>
      <c r="BT66" s="31">
        <v>1</v>
      </c>
      <c r="BU66" s="34">
        <v>0</v>
      </c>
      <c r="BV66" s="31">
        <v>0</v>
      </c>
      <c r="BW66" s="31">
        <v>1</v>
      </c>
      <c r="BX66" s="34">
        <v>0</v>
      </c>
      <c r="BY66" s="31">
        <v>0</v>
      </c>
      <c r="BZ66" s="31">
        <v>1</v>
      </c>
      <c r="CA66" s="34">
        <v>0</v>
      </c>
      <c r="CB66" s="31">
        <v>0</v>
      </c>
      <c r="CC66" s="31">
        <v>1</v>
      </c>
      <c r="CD66" s="31"/>
    </row>
    <row r="67" spans="1:83" x14ac:dyDescent="0.25">
      <c r="A67" s="36">
        <v>300</v>
      </c>
      <c r="B67" s="36">
        <v>300</v>
      </c>
      <c r="C67" s="36">
        <v>300</v>
      </c>
      <c r="D67" s="36" t="s">
        <v>89</v>
      </c>
      <c r="E67" s="37" t="s">
        <v>85</v>
      </c>
      <c r="F67" s="37"/>
      <c r="G67" s="37"/>
      <c r="H67" s="37"/>
      <c r="I67" s="8">
        <f>SUBTOTAL(109,I$4:I$62)</f>
        <v>300</v>
      </c>
      <c r="J67" s="148">
        <f>SUBTOTAL(109,J$4:J$62)</f>
        <v>257</v>
      </c>
      <c r="K67" s="148">
        <f>SUBTOTAL(109,K$4:K$61)</f>
        <v>273</v>
      </c>
      <c r="L67" s="8"/>
      <c r="M67" s="8">
        <f>SUBTOTAL(109,M$4:M$62)</f>
        <v>22</v>
      </c>
      <c r="N67" s="8">
        <f>SUBTOTAL(109,N$4:N$61)</f>
        <v>251</v>
      </c>
      <c r="O67" s="8"/>
      <c r="P67" s="8">
        <f>SUBTOTAL(109,P$4:P$62)</f>
        <v>38</v>
      </c>
      <c r="Q67" s="8">
        <f>SUBTOTAL(109,Q$4:Q$61)</f>
        <v>213</v>
      </c>
      <c r="R67" s="8"/>
      <c r="S67" s="8">
        <f>SUBTOTAL(109,S$4:S$62)</f>
        <v>0</v>
      </c>
      <c r="T67" s="8">
        <f>SUBTOTAL(109,T$4:T$61)</f>
        <v>213</v>
      </c>
      <c r="U67" s="8"/>
      <c r="V67" s="8">
        <f>SUBTOTAL(109,V$4:V$62)</f>
        <v>0</v>
      </c>
      <c r="W67" s="8">
        <f>SUBTOTAL(109,W$4:W$61)</f>
        <v>213</v>
      </c>
      <c r="X67" s="8"/>
      <c r="Y67" s="8">
        <f>SUBTOTAL(109,Y$4:Y$62)</f>
        <v>38</v>
      </c>
      <c r="Z67" s="8">
        <f>SUBTOTAL(109,Z$4:Z$61)</f>
        <v>175</v>
      </c>
      <c r="AA67" s="8"/>
      <c r="AB67" s="8">
        <f>SUBTOTAL(109,AB$4:AB$62)</f>
        <v>38</v>
      </c>
      <c r="AC67" s="8">
        <f>SUBTOTAL(109,AC$4:AC$61)</f>
        <v>137</v>
      </c>
      <c r="AD67" s="8"/>
      <c r="AE67" s="8">
        <f>SUBTOTAL(109,AE$4:AE$62)</f>
        <v>44</v>
      </c>
      <c r="AF67" s="8">
        <f>SUBTOTAL(109,AF$4:AF$61)</f>
        <v>99</v>
      </c>
      <c r="AG67" s="8"/>
      <c r="AH67" s="8">
        <f>SUBTOTAL(109,AH$4:AH$62)</f>
        <v>24</v>
      </c>
      <c r="AI67" s="8">
        <f>SUBTOTAL(109,AI$4:AI$61)</f>
        <v>75</v>
      </c>
      <c r="AJ67" s="8"/>
      <c r="AK67" s="8">
        <f>SUBTOTAL(109,AK$4:AK$62)</f>
        <v>29</v>
      </c>
      <c r="AL67" s="8">
        <f>SUBTOTAL(109,AL$4:AL$61)</f>
        <v>46</v>
      </c>
      <c r="AM67" s="8"/>
      <c r="AN67" s="8">
        <f>SUBTOTAL(109,AN$4:AN$62)</f>
        <v>3</v>
      </c>
      <c r="AO67" s="8">
        <f>SUBTOTAL(109,AO$4:AO$61)</f>
        <v>43</v>
      </c>
      <c r="AP67" s="8"/>
      <c r="AQ67" s="8">
        <f>SUBTOTAL(109,AQ$4:AQ$62)</f>
        <v>6</v>
      </c>
      <c r="AR67" s="8">
        <f>SUBTOTAL(109,AR$4:AR$61)</f>
        <v>37</v>
      </c>
      <c r="AS67" s="8"/>
      <c r="AT67" s="8">
        <f>SUBTOTAL(109,AT$4:AT$62)</f>
        <v>19</v>
      </c>
      <c r="AU67" s="8">
        <f>SUBTOTAL(109,AU$4:AU$61)</f>
        <v>18</v>
      </c>
      <c r="AV67" s="8"/>
      <c r="AW67" s="8">
        <f>SUBTOTAL(109,AW$4:AW$62)</f>
        <v>19</v>
      </c>
      <c r="AX67" s="8">
        <f>SUBTOTAL(109,AX$4:AX$61)</f>
        <v>0</v>
      </c>
      <c r="AY67" s="8"/>
      <c r="AZ67" s="8">
        <f t="shared" ref="AZ67:CC67" si="70">SUBTOTAL(109,AZ$4:AZ$61)</f>
        <v>0</v>
      </c>
      <c r="BA67" s="8" t="e">
        <f t="shared" si="70"/>
        <v>#REF!</v>
      </c>
      <c r="BB67" s="8" t="e">
        <f t="shared" si="70"/>
        <v>#REF!</v>
      </c>
      <c r="BC67" s="8">
        <f t="shared" si="70"/>
        <v>0</v>
      </c>
      <c r="BD67" s="8" t="e">
        <f t="shared" si="70"/>
        <v>#REF!</v>
      </c>
      <c r="BE67" s="8" t="e">
        <f t="shared" si="70"/>
        <v>#REF!</v>
      </c>
      <c r="BF67" s="8">
        <f t="shared" si="70"/>
        <v>0</v>
      </c>
      <c r="BG67" s="8" t="e">
        <f t="shared" si="70"/>
        <v>#REF!</v>
      </c>
      <c r="BH67" s="8" t="e">
        <f t="shared" si="70"/>
        <v>#REF!</v>
      </c>
      <c r="BI67" s="8">
        <f t="shared" si="70"/>
        <v>0</v>
      </c>
      <c r="BJ67" s="8" t="e">
        <f t="shared" si="70"/>
        <v>#REF!</v>
      </c>
      <c r="BK67" s="8" t="e">
        <f t="shared" si="70"/>
        <v>#REF!</v>
      </c>
      <c r="BL67" s="8">
        <f t="shared" si="70"/>
        <v>0</v>
      </c>
      <c r="BM67" s="8" t="e">
        <f t="shared" si="70"/>
        <v>#REF!</v>
      </c>
      <c r="BN67" s="8" t="e">
        <f t="shared" si="70"/>
        <v>#REF!</v>
      </c>
      <c r="BO67" s="8">
        <f t="shared" si="70"/>
        <v>0</v>
      </c>
      <c r="BP67" s="8" t="e">
        <f t="shared" si="70"/>
        <v>#REF!</v>
      </c>
      <c r="BQ67" s="8" t="e">
        <f t="shared" si="70"/>
        <v>#REF!</v>
      </c>
      <c r="BR67" s="8">
        <f t="shared" si="70"/>
        <v>0</v>
      </c>
      <c r="BS67" s="8" t="e">
        <f t="shared" si="70"/>
        <v>#REF!</v>
      </c>
      <c r="BT67" s="8" t="e">
        <f t="shared" si="70"/>
        <v>#REF!</v>
      </c>
      <c r="BU67" s="8">
        <f t="shared" si="70"/>
        <v>0</v>
      </c>
      <c r="BV67" s="8" t="e">
        <f t="shared" si="70"/>
        <v>#REF!</v>
      </c>
      <c r="BW67" s="8" t="e">
        <f t="shared" si="70"/>
        <v>#REF!</v>
      </c>
      <c r="BX67" s="8">
        <f t="shared" si="70"/>
        <v>0</v>
      </c>
      <c r="BY67" s="8" t="e">
        <f t="shared" si="70"/>
        <v>#REF!</v>
      </c>
      <c r="BZ67" s="8" t="e">
        <f t="shared" si="70"/>
        <v>#REF!</v>
      </c>
      <c r="CA67" s="8">
        <f t="shared" si="70"/>
        <v>0</v>
      </c>
      <c r="CB67" s="8" t="e">
        <f t="shared" si="70"/>
        <v>#REF!</v>
      </c>
      <c r="CC67" s="8" t="e">
        <f t="shared" si="70"/>
        <v>#REF!</v>
      </c>
      <c r="CD67" s="37"/>
      <c r="CE67" s="37"/>
    </row>
  </sheetData>
  <autoFilter ref="C3:CE61" xr:uid="{00000000-0009-0000-0000-000000000000}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E4:AE61 AB4:AB61 Y4:Y61 V4:V61 CA4:CA61 BX4:BX61 BU4:BU61 BR4:BR61 BO4:BO61 BL4:BL61 BI4:BI61 BF4:BF61 BC4:BC61 AZ4:AZ61 M4:M61 P4:P61 AH4:AH61 J4:J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A4:E61 H4:I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 xr:uid="{00000000-0002-0000-0000-000000000000}">
      <formula1>Members</formula1>
    </dataValidation>
    <dataValidation type="list" allowBlank="1" showInputMessage="1" showErrorMessage="1" sqref="A4:A61" xr:uid="{00000000-0002-0000-0000-000001000000}">
      <formula1>Worktype</formula1>
    </dataValidation>
    <dataValidation type="list" allowBlank="1" showInputMessage="1" showErrorMessage="1" sqref="B4:B61" xr:uid="{00000000-0002-0000-0000-000002000000}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1174750</xdr:colOff>
                <xdr:row>1</xdr:row>
                <xdr:rowOff>12700</xdr:rowOff>
              </from>
              <to>
                <xdr:col>4</xdr:col>
                <xdr:colOff>2413000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12700</xdr:rowOff>
              </from>
              <to>
                <xdr:col>4</xdr:col>
                <xdr:colOff>1098550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H51"/>
  <sheetViews>
    <sheetView workbookViewId="0">
      <selection activeCell="E41" sqref="E41"/>
    </sheetView>
  </sheetViews>
  <sheetFormatPr defaultColWidth="9.1796875" defaultRowHeight="12.5" x14ac:dyDescent="0.25"/>
  <cols>
    <col min="1" max="1" width="9.1796875" style="6"/>
    <col min="2" max="2" width="9.453125" style="6" customWidth="1"/>
    <col min="3" max="4" width="9.1796875" style="6"/>
    <col min="5" max="28" width="9.26953125" style="6" bestFit="1" customWidth="1"/>
    <col min="29" max="29" width="9.7265625" style="6" customWidth="1"/>
    <col min="30" max="34" width="9.26953125" style="6" bestFit="1" customWidth="1"/>
    <col min="35" max="16384" width="9.1796875" style="6"/>
  </cols>
  <sheetData>
    <row r="1" spans="1:1" x14ac:dyDescent="0.25">
      <c r="A1" s="141"/>
    </row>
    <row r="19" spans="1:18" x14ac:dyDescent="0.25">
      <c r="A19" s="150" t="str">
        <f>IF(SkipWeekends, "Working Day", "Calendar Day")</f>
        <v>Calendar Day</v>
      </c>
      <c r="B19" s="151"/>
      <c r="C19" s="152"/>
      <c r="D19" s="152"/>
      <c r="E19" s="152">
        <v>1</v>
      </c>
      <c r="F19" s="152">
        <v>2</v>
      </c>
      <c r="G19" s="152">
        <v>3</v>
      </c>
      <c r="H19" s="152">
        <v>4</v>
      </c>
      <c r="I19" s="152">
        <v>5</v>
      </c>
      <c r="J19" s="152">
        <v>6</v>
      </c>
      <c r="K19" s="152">
        <v>7</v>
      </c>
      <c r="L19" s="152">
        <v>8</v>
      </c>
      <c r="M19" s="152">
        <v>9</v>
      </c>
      <c r="N19" s="152">
        <v>10</v>
      </c>
      <c r="O19" s="152">
        <v>11</v>
      </c>
      <c r="P19" s="152">
        <v>12</v>
      </c>
      <c r="Q19" s="152">
        <v>13</v>
      </c>
      <c r="R19" s="152">
        <v>14</v>
      </c>
    </row>
    <row r="20" spans="1:18" x14ac:dyDescent="0.25">
      <c r="A20" s="150" t="s">
        <v>21</v>
      </c>
      <c r="B20" s="151"/>
      <c r="C20" s="152"/>
      <c r="D20" s="152"/>
      <c r="E20" s="153">
        <f t="shared" ref="E20:R20" si="0">INDEX(SprintDates,1,(E19-1)*BurndownColumns+1)</f>
        <v>45420</v>
      </c>
      <c r="F20" s="153">
        <f t="shared" si="0"/>
        <v>45421</v>
      </c>
      <c r="G20" s="153">
        <f t="shared" si="0"/>
        <v>45422</v>
      </c>
      <c r="H20" s="153">
        <f t="shared" si="0"/>
        <v>45423</v>
      </c>
      <c r="I20" s="153">
        <f t="shared" si="0"/>
        <v>45424</v>
      </c>
      <c r="J20" s="153">
        <f t="shared" si="0"/>
        <v>45425</v>
      </c>
      <c r="K20" s="153">
        <f t="shared" si="0"/>
        <v>45426</v>
      </c>
      <c r="L20" s="153">
        <f t="shared" si="0"/>
        <v>45427</v>
      </c>
      <c r="M20" s="153">
        <f t="shared" si="0"/>
        <v>45428</v>
      </c>
      <c r="N20" s="153">
        <f t="shared" si="0"/>
        <v>45429</v>
      </c>
      <c r="O20" s="153">
        <f t="shared" si="0"/>
        <v>45430</v>
      </c>
      <c r="P20" s="153">
        <f t="shared" si="0"/>
        <v>45431</v>
      </c>
      <c r="Q20" s="153">
        <f t="shared" si="0"/>
        <v>45432</v>
      </c>
      <c r="R20" s="153">
        <f t="shared" si="0"/>
        <v>45433</v>
      </c>
    </row>
    <row r="21" spans="1:18" x14ac:dyDescent="0.25">
      <c r="A21" s="150"/>
      <c r="B21" s="151"/>
      <c r="C21" s="152"/>
      <c r="D21" s="152"/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</row>
    <row r="22" spans="1:18" x14ac:dyDescent="0.25">
      <c r="A22" s="150" t="s">
        <v>8</v>
      </c>
      <c r="B22" s="152"/>
      <c r="C22" s="152"/>
      <c r="D22" s="154"/>
      <c r="E22" s="152">
        <f t="shared" ref="E22:R22" ca="1" si="1">IF(E20&gt;TODAY(), #N/A, SUM(INDEX(Burndown,,(E19-1)*BurndownColumns+HoursLeftColumn)))</f>
        <v>273</v>
      </c>
      <c r="F22" s="152">
        <f t="shared" ca="1" si="1"/>
        <v>251</v>
      </c>
      <c r="G22" s="152">
        <f t="shared" ca="1" si="1"/>
        <v>213</v>
      </c>
      <c r="H22" s="152">
        <f t="shared" ca="1" si="1"/>
        <v>213</v>
      </c>
      <c r="I22" s="152">
        <f t="shared" ca="1" si="1"/>
        <v>213</v>
      </c>
      <c r="J22" s="152">
        <f t="shared" ca="1" si="1"/>
        <v>175</v>
      </c>
      <c r="K22" s="152">
        <f t="shared" ca="1" si="1"/>
        <v>137</v>
      </c>
      <c r="L22" s="152">
        <f t="shared" ca="1" si="1"/>
        <v>99</v>
      </c>
      <c r="M22" s="152">
        <f t="shared" ca="1" si="1"/>
        <v>75</v>
      </c>
      <c r="N22" s="152">
        <f t="shared" ca="1" si="1"/>
        <v>46</v>
      </c>
      <c r="O22" s="152">
        <f t="shared" ca="1" si="1"/>
        <v>43</v>
      </c>
      <c r="P22" s="152">
        <f t="shared" ca="1" si="1"/>
        <v>37</v>
      </c>
      <c r="Q22" s="152">
        <f t="shared" ca="1" si="1"/>
        <v>18</v>
      </c>
      <c r="R22" s="152">
        <f t="shared" ca="1" si="1"/>
        <v>0</v>
      </c>
    </row>
    <row r="23" spans="1:18" x14ac:dyDescent="0.25">
      <c r="A23" s="150" t="s">
        <v>20</v>
      </c>
      <c r="B23" s="152"/>
      <c r="C23" s="152"/>
      <c r="D23" s="154"/>
      <c r="E23" s="152">
        <f t="shared" ref="E23:R23" ca="1" si="2">IF(E20&gt;TODAY(), #N/A, SUM(INDEX(Burndown,,(E19-1)*BurndownColumns+HoursSpentColumn)))</f>
        <v>257</v>
      </c>
      <c r="F23" s="152">
        <f t="shared" ca="1" si="2"/>
        <v>22</v>
      </c>
      <c r="G23" s="152">
        <f t="shared" ca="1" si="2"/>
        <v>38</v>
      </c>
      <c r="H23" s="152">
        <f t="shared" ca="1" si="2"/>
        <v>0</v>
      </c>
      <c r="I23" s="152">
        <f t="shared" ca="1" si="2"/>
        <v>0</v>
      </c>
      <c r="J23" s="152">
        <f t="shared" ca="1" si="2"/>
        <v>38</v>
      </c>
      <c r="K23" s="152">
        <f t="shared" ca="1" si="2"/>
        <v>38</v>
      </c>
      <c r="L23" s="152">
        <f t="shared" ca="1" si="2"/>
        <v>44</v>
      </c>
      <c r="M23" s="152">
        <f t="shared" ca="1" si="2"/>
        <v>24</v>
      </c>
      <c r="N23" s="152">
        <f t="shared" ca="1" si="2"/>
        <v>29</v>
      </c>
      <c r="O23" s="152">
        <f t="shared" ca="1" si="2"/>
        <v>3</v>
      </c>
      <c r="P23" s="152">
        <f t="shared" ca="1" si="2"/>
        <v>6</v>
      </c>
      <c r="Q23" s="152">
        <f t="shared" ca="1" si="2"/>
        <v>19</v>
      </c>
      <c r="R23" s="152">
        <f t="shared" ca="1" si="2"/>
        <v>19</v>
      </c>
    </row>
    <row r="24" spans="1:18" x14ac:dyDescent="0.25">
      <c r="A24" s="150" t="s">
        <v>3</v>
      </c>
      <c r="B24" s="152"/>
      <c r="C24" s="152"/>
      <c r="D24" s="154"/>
      <c r="E24" s="152">
        <f ca="1">IF(E20&gt;TODAY(), #N/A, SUM($E23:E23))</f>
        <v>257</v>
      </c>
      <c r="F24" s="152">
        <f ca="1">IF(F20&gt;TODAY(), #N/A, SUM($E23:F23))</f>
        <v>279</v>
      </c>
      <c r="G24" s="152">
        <f ca="1">IF(G20&gt;TODAY(), #N/A, SUM($E23:G23))</f>
        <v>317</v>
      </c>
      <c r="H24" s="152">
        <f ca="1">IF(H20&gt;TODAY(), #N/A, SUM($E23:H23))</f>
        <v>317</v>
      </c>
      <c r="I24" s="152">
        <f ca="1">IF(I20&gt;TODAY(), #N/A, SUM($E23:I23))</f>
        <v>317</v>
      </c>
      <c r="J24" s="152">
        <f ca="1">IF(J20&gt;TODAY(), #N/A, SUM($E23:J23))</f>
        <v>355</v>
      </c>
      <c r="K24" s="152">
        <f ca="1">IF(K20&gt;TODAY(), #N/A, SUM($E23:K23))</f>
        <v>393</v>
      </c>
      <c r="L24" s="152">
        <f ca="1">IF(L20&gt;TODAY(), #N/A, SUM($E23:L23))</f>
        <v>437</v>
      </c>
      <c r="M24" s="152">
        <f ca="1">IF(M20&gt;TODAY(), #N/A, SUM($E23:M23))</f>
        <v>461</v>
      </c>
      <c r="N24" s="152">
        <f ca="1">IF(N20&gt;TODAY(), #N/A, SUM($E23:N23))</f>
        <v>490</v>
      </c>
      <c r="O24" s="152">
        <f ca="1">IF(O20&gt;TODAY(), #N/A, SUM($E23:O23))</f>
        <v>493</v>
      </c>
      <c r="P24" s="152">
        <f ca="1">IF(P20&gt;TODAY(), #N/A, SUM($E23:P23))</f>
        <v>499</v>
      </c>
      <c r="Q24" s="152">
        <f ca="1">IF(Q20&gt;TODAY(), #N/A, SUM($E23:Q23))</f>
        <v>518</v>
      </c>
      <c r="R24" s="152">
        <f ca="1">IF(R20&gt;TODAY(), #N/A, SUM($E23:R23))</f>
        <v>537</v>
      </c>
    </row>
    <row r="25" spans="1:18" x14ac:dyDescent="0.25">
      <c r="A25" s="150" t="s">
        <v>22</v>
      </c>
      <c r="B25" s="152"/>
      <c r="C25" s="152"/>
      <c r="D25" s="154"/>
      <c r="E25" s="152">
        <f t="shared" ref="E25:R25" ca="1" si="3">IF(E20&gt;TODAY(), #N/A, E22+E24)</f>
        <v>530</v>
      </c>
      <c r="F25" s="152">
        <f t="shared" ca="1" si="3"/>
        <v>530</v>
      </c>
      <c r="G25" s="152">
        <f t="shared" ca="1" si="3"/>
        <v>530</v>
      </c>
      <c r="H25" s="152">
        <f t="shared" ca="1" si="3"/>
        <v>530</v>
      </c>
      <c r="I25" s="152">
        <f t="shared" ca="1" si="3"/>
        <v>530</v>
      </c>
      <c r="J25" s="152">
        <f t="shared" ca="1" si="3"/>
        <v>530</v>
      </c>
      <c r="K25" s="152">
        <f t="shared" ca="1" si="3"/>
        <v>530</v>
      </c>
      <c r="L25" s="152">
        <f t="shared" ca="1" si="3"/>
        <v>536</v>
      </c>
      <c r="M25" s="152">
        <f t="shared" ca="1" si="3"/>
        <v>536</v>
      </c>
      <c r="N25" s="152">
        <f t="shared" ca="1" si="3"/>
        <v>536</v>
      </c>
      <c r="O25" s="152">
        <f t="shared" ca="1" si="3"/>
        <v>536</v>
      </c>
      <c r="P25" s="152">
        <f t="shared" ca="1" si="3"/>
        <v>536</v>
      </c>
      <c r="Q25" s="152">
        <f t="shared" ca="1" si="3"/>
        <v>536</v>
      </c>
      <c r="R25" s="152">
        <f t="shared" ca="1" si="3"/>
        <v>537</v>
      </c>
    </row>
    <row r="26" spans="1:18" x14ac:dyDescent="0.25">
      <c r="A26" s="150"/>
      <c r="B26" s="152"/>
      <c r="C26" s="152"/>
      <c r="D26" s="154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</row>
    <row r="27" spans="1:18" x14ac:dyDescent="0.25">
      <c r="A27" s="150" t="s">
        <v>4</v>
      </c>
      <c r="B27" s="152"/>
      <c r="C27" s="152"/>
      <c r="D27" s="154"/>
      <c r="E27" s="155">
        <f t="shared" ref="E27:R27" ca="1" si="4">IF(E20&gt;TODAY(), #N/A, E24/E19)</f>
        <v>257</v>
      </c>
      <c r="F27" s="155">
        <f t="shared" ca="1" si="4"/>
        <v>139.5</v>
      </c>
      <c r="G27" s="155">
        <f t="shared" ca="1" si="4"/>
        <v>105.66666666666667</v>
      </c>
      <c r="H27" s="155">
        <f t="shared" ca="1" si="4"/>
        <v>79.25</v>
      </c>
      <c r="I27" s="155">
        <f t="shared" ca="1" si="4"/>
        <v>63.4</v>
      </c>
      <c r="J27" s="155">
        <f t="shared" ca="1" si="4"/>
        <v>59.166666666666664</v>
      </c>
      <c r="K27" s="155">
        <f t="shared" ca="1" si="4"/>
        <v>56.142857142857146</v>
      </c>
      <c r="L27" s="155">
        <f t="shared" ca="1" si="4"/>
        <v>54.625</v>
      </c>
      <c r="M27" s="155">
        <f t="shared" ca="1" si="4"/>
        <v>51.222222222222221</v>
      </c>
      <c r="N27" s="155">
        <f t="shared" ca="1" si="4"/>
        <v>49</v>
      </c>
      <c r="O27" s="155">
        <f t="shared" ca="1" si="4"/>
        <v>44.81818181818182</v>
      </c>
      <c r="P27" s="155">
        <f t="shared" ca="1" si="4"/>
        <v>41.583333333333336</v>
      </c>
      <c r="Q27" s="155">
        <f t="shared" ca="1" si="4"/>
        <v>39.846153846153847</v>
      </c>
      <c r="R27" s="155">
        <f t="shared" ca="1" si="4"/>
        <v>38.357142857142854</v>
      </c>
    </row>
    <row r="28" spans="1:18" x14ac:dyDescent="0.25">
      <c r="A28" s="150" t="s">
        <v>5</v>
      </c>
      <c r="B28" s="152"/>
      <c r="C28" s="152"/>
      <c r="D28" s="154"/>
      <c r="E28" s="153">
        <f t="shared" ref="E28:R28" ca="1" si="5">IF(E20&gt;TODAY(), #N/A, IF(E27=0, SprintStart, E20 + (E22/E27)))</f>
        <v>45421.062256809339</v>
      </c>
      <c r="F28" s="153">
        <f t="shared" ca="1" si="5"/>
        <v>45422.79928315412</v>
      </c>
      <c r="G28" s="153">
        <f t="shared" ca="1" si="5"/>
        <v>45424.015772870662</v>
      </c>
      <c r="H28" s="153">
        <f t="shared" ca="1" si="5"/>
        <v>45425.68769716088</v>
      </c>
      <c r="I28" s="153">
        <f t="shared" ca="1" si="5"/>
        <v>45427.359621451105</v>
      </c>
      <c r="J28" s="153">
        <f t="shared" ca="1" si="5"/>
        <v>45427.957746478874</v>
      </c>
      <c r="K28" s="153">
        <f t="shared" ca="1" si="5"/>
        <v>45428.440203562343</v>
      </c>
      <c r="L28" s="153">
        <f t="shared" ca="1" si="5"/>
        <v>45428.812356979404</v>
      </c>
      <c r="M28" s="153">
        <f t="shared" ca="1" si="5"/>
        <v>45429.464208242949</v>
      </c>
      <c r="N28" s="153">
        <f t="shared" ca="1" si="5"/>
        <v>45429.938775510207</v>
      </c>
      <c r="O28" s="153">
        <f t="shared" ca="1" si="5"/>
        <v>45430.959432048679</v>
      </c>
      <c r="P28" s="153">
        <f t="shared" ca="1" si="5"/>
        <v>45431.889779559118</v>
      </c>
      <c r="Q28" s="153">
        <f t="shared" ca="1" si="5"/>
        <v>45432.451737451738</v>
      </c>
      <c r="R28" s="153">
        <f t="shared" ca="1" si="5"/>
        <v>45433</v>
      </c>
    </row>
    <row r="29" spans="1:18" x14ac:dyDescent="0.25">
      <c r="A29" s="150" t="s">
        <v>31</v>
      </c>
      <c r="B29" s="152"/>
      <c r="C29" s="152"/>
      <c r="D29" s="154"/>
      <c r="E29" s="153">
        <f t="shared" ref="E29:R29" ca="1" si="6">IF(E$20&gt;TODAY(), #N/A, IF(E$33&gt;0, SprintStart+((E$25*E$19)/E$33)-1, SprintStart))</f>
        <v>45421.304347826088</v>
      </c>
      <c r="F29" s="153">
        <f t="shared" ca="1" si="6"/>
        <v>45423.608695652176</v>
      </c>
      <c r="G29" s="153">
        <f t="shared" ca="1" si="6"/>
        <v>45425</v>
      </c>
      <c r="H29" s="153">
        <f t="shared" ca="1" si="6"/>
        <v>45427</v>
      </c>
      <c r="I29" s="153">
        <f t="shared" ca="1" si="6"/>
        <v>45429</v>
      </c>
      <c r="J29" s="153">
        <f t="shared" ca="1" si="6"/>
        <v>45431</v>
      </c>
      <c r="K29" s="153">
        <f t="shared" ca="1" si="6"/>
        <v>45430.929260450161</v>
      </c>
      <c r="L29" s="153">
        <f t="shared" ca="1" si="6"/>
        <v>45432.787781350482</v>
      </c>
      <c r="M29" s="153">
        <f t="shared" ca="1" si="6"/>
        <v>45431.029925187031</v>
      </c>
      <c r="N29" s="153">
        <f t="shared" ca="1" si="6"/>
        <v>45430.754385964916</v>
      </c>
      <c r="O29" s="153">
        <f t="shared" ca="1" si="6"/>
        <v>45431.386554621851</v>
      </c>
      <c r="P29" s="153">
        <f t="shared" ca="1" si="6"/>
        <v>45432.512605042015</v>
      </c>
      <c r="Q29" s="153">
        <f t="shared" ca="1" si="6"/>
        <v>45433.638655462186</v>
      </c>
      <c r="R29" s="153">
        <f t="shared" ca="1" si="6"/>
        <v>45433</v>
      </c>
    </row>
    <row r="30" spans="1:18" x14ac:dyDescent="0.25">
      <c r="A30" s="150"/>
      <c r="B30" s="152"/>
      <c r="C30" s="152"/>
      <c r="D30" s="154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</row>
    <row r="31" spans="1:18" x14ac:dyDescent="0.25">
      <c r="A31" s="150" t="s">
        <v>27</v>
      </c>
      <c r="B31" s="152"/>
      <c r="C31" s="152"/>
      <c r="D31" s="154"/>
      <c r="E31" s="152">
        <f t="shared" ref="E31:R31" ca="1" si="7">IF(E$20&gt;TODAY(), #N/A, SUMIF(INDEX(Burndown,,(E$19-1)*BurndownColumns+StatusColumn), "=Pending",INDEX(Burndown,,(E$19-1)*BurndownColumns+HoursLeftColumn)))</f>
        <v>175</v>
      </c>
      <c r="F31" s="152">
        <f t="shared" ca="1" si="7"/>
        <v>175</v>
      </c>
      <c r="G31" s="152">
        <f t="shared" ca="1" si="7"/>
        <v>115</v>
      </c>
      <c r="H31" s="152">
        <f t="shared" ca="1" si="7"/>
        <v>115</v>
      </c>
      <c r="I31" s="152">
        <f t="shared" ca="1" si="7"/>
        <v>115</v>
      </c>
      <c r="J31" s="152">
        <f t="shared" ca="1" si="7"/>
        <v>85</v>
      </c>
      <c r="K31" s="152">
        <f t="shared" ca="1" si="7"/>
        <v>40</v>
      </c>
      <c r="L31" s="152">
        <f t="shared" ca="1" si="7"/>
        <v>40</v>
      </c>
      <c r="M31" s="152">
        <f t="shared" ca="1" si="7"/>
        <v>15</v>
      </c>
      <c r="N31" s="152">
        <f t="shared" ca="1" si="7"/>
        <v>0</v>
      </c>
      <c r="O31" s="152">
        <f t="shared" ca="1" si="7"/>
        <v>0</v>
      </c>
      <c r="P31" s="152">
        <f t="shared" ca="1" si="7"/>
        <v>0</v>
      </c>
      <c r="Q31" s="152">
        <f t="shared" ca="1" si="7"/>
        <v>0</v>
      </c>
      <c r="R31" s="152">
        <f t="shared" ca="1" si="7"/>
        <v>0</v>
      </c>
    </row>
    <row r="32" spans="1:18" x14ac:dyDescent="0.25">
      <c r="A32" s="150" t="s">
        <v>28</v>
      </c>
      <c r="B32" s="152"/>
      <c r="C32" s="152"/>
      <c r="D32" s="154"/>
      <c r="E32" s="156">
        <f t="shared" ref="E32:R32" ca="1" si="8">E$22-E$31+E$24-E$33</f>
        <v>125</v>
      </c>
      <c r="F32" s="156">
        <f t="shared" ca="1" si="8"/>
        <v>125</v>
      </c>
      <c r="G32" s="156">
        <f t="shared" ca="1" si="8"/>
        <v>150</v>
      </c>
      <c r="H32" s="156">
        <f t="shared" ca="1" si="8"/>
        <v>150</v>
      </c>
      <c r="I32" s="156">
        <f t="shared" ca="1" si="8"/>
        <v>150</v>
      </c>
      <c r="J32" s="156">
        <f t="shared" ca="1" si="8"/>
        <v>180</v>
      </c>
      <c r="K32" s="156">
        <f t="shared" ca="1" si="8"/>
        <v>179</v>
      </c>
      <c r="L32" s="156">
        <f t="shared" ca="1" si="8"/>
        <v>185</v>
      </c>
      <c r="M32" s="156">
        <f t="shared" ca="1" si="8"/>
        <v>120</v>
      </c>
      <c r="N32" s="156">
        <f t="shared" ca="1" si="8"/>
        <v>80</v>
      </c>
      <c r="O32" s="156">
        <f t="shared" ca="1" si="8"/>
        <v>60</v>
      </c>
      <c r="P32" s="156">
        <f t="shared" ca="1" si="8"/>
        <v>60</v>
      </c>
      <c r="Q32" s="156">
        <f t="shared" ca="1" si="8"/>
        <v>60</v>
      </c>
      <c r="R32" s="156">
        <f t="shared" ca="1" si="8"/>
        <v>0</v>
      </c>
    </row>
    <row r="33" spans="1:34" x14ac:dyDescent="0.25">
      <c r="A33" s="150" t="s">
        <v>29</v>
      </c>
      <c r="B33" s="152"/>
      <c r="C33" s="152"/>
      <c r="D33" s="154"/>
      <c r="E33" s="152">
        <f t="shared" ref="E33:R33" ca="1" si="9">IF(E$20&gt;TODAY(), #N/A, SUMIF(INDEX(Burndown,,(E$19-1)*BurndownColumns+StatusColumn), "=Complete",TotalEffort))</f>
        <v>230</v>
      </c>
      <c r="F33" s="152">
        <f t="shared" ca="1" si="9"/>
        <v>230</v>
      </c>
      <c r="G33" s="152">
        <f t="shared" ca="1" si="9"/>
        <v>265</v>
      </c>
      <c r="H33" s="152">
        <f t="shared" ca="1" si="9"/>
        <v>265</v>
      </c>
      <c r="I33" s="152">
        <f t="shared" ca="1" si="9"/>
        <v>265</v>
      </c>
      <c r="J33" s="152">
        <f t="shared" ca="1" si="9"/>
        <v>265</v>
      </c>
      <c r="K33" s="152">
        <f t="shared" ca="1" si="9"/>
        <v>311</v>
      </c>
      <c r="L33" s="152">
        <f t="shared" ca="1" si="9"/>
        <v>311</v>
      </c>
      <c r="M33" s="152">
        <f t="shared" ca="1" si="9"/>
        <v>401</v>
      </c>
      <c r="N33" s="152">
        <f t="shared" ca="1" si="9"/>
        <v>456</v>
      </c>
      <c r="O33" s="152">
        <f t="shared" ca="1" si="9"/>
        <v>476</v>
      </c>
      <c r="P33" s="152">
        <f t="shared" ca="1" si="9"/>
        <v>476</v>
      </c>
      <c r="Q33" s="152">
        <f t="shared" ca="1" si="9"/>
        <v>476</v>
      </c>
      <c r="R33" s="152">
        <f t="shared" ca="1" si="9"/>
        <v>537</v>
      </c>
    </row>
    <row r="34" spans="1:34" x14ac:dyDescent="0.25">
      <c r="A34" s="150"/>
      <c r="B34" s="152"/>
      <c r="C34" s="152"/>
      <c r="D34" s="154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2"/>
    </row>
    <row r="35" spans="1:34" x14ac:dyDescent="0.25">
      <c r="A35" s="150" t="s">
        <v>10</v>
      </c>
      <c r="B35" s="152"/>
      <c r="C35" s="152"/>
      <c r="D35" s="154"/>
      <c r="E35" s="152">
        <f t="shared" ref="E35:R35" ca="1" si="10">IF(E20&gt;TODAY(), #N/A, COUNTIF(INDEX(Burndown,,(E19-1)*BurndownColumns+StatusColumn), "=Pending"))</f>
        <v>8</v>
      </c>
      <c r="F35" s="152">
        <f t="shared" ca="1" si="10"/>
        <v>8</v>
      </c>
      <c r="G35" s="152">
        <f t="shared" ca="1" si="10"/>
        <v>5</v>
      </c>
      <c r="H35" s="152">
        <f t="shared" ca="1" si="10"/>
        <v>5</v>
      </c>
      <c r="I35" s="152">
        <f t="shared" ca="1" si="10"/>
        <v>5</v>
      </c>
      <c r="J35" s="152">
        <f t="shared" ca="1" si="10"/>
        <v>4</v>
      </c>
      <c r="K35" s="152">
        <f t="shared" ca="1" si="10"/>
        <v>2</v>
      </c>
      <c r="L35" s="152">
        <f t="shared" ca="1" si="10"/>
        <v>2</v>
      </c>
      <c r="M35" s="152">
        <f t="shared" ca="1" si="10"/>
        <v>1</v>
      </c>
      <c r="N35" s="152">
        <f t="shared" ca="1" si="10"/>
        <v>0</v>
      </c>
      <c r="O35" s="152">
        <f t="shared" ca="1" si="10"/>
        <v>0</v>
      </c>
      <c r="P35" s="152">
        <f t="shared" ca="1" si="10"/>
        <v>0</v>
      </c>
      <c r="Q35" s="152">
        <f t="shared" ca="1" si="10"/>
        <v>0</v>
      </c>
      <c r="R35" s="152">
        <f t="shared" ca="1" si="10"/>
        <v>0</v>
      </c>
    </row>
    <row r="36" spans="1:34" x14ac:dyDescent="0.25">
      <c r="A36" s="150" t="s">
        <v>6</v>
      </c>
      <c r="B36" s="152"/>
      <c r="C36" s="152"/>
      <c r="D36" s="154"/>
      <c r="E36" s="152">
        <f t="shared" ref="E36:R36" ca="1" si="11">IF(E20&gt;TODAY(), #N/A, COUNTIF(INDEX(Burndown,,(E19-1)*BurndownColumns+StatusColumn), "=In Progress"))</f>
        <v>4</v>
      </c>
      <c r="F36" s="152">
        <f t="shared" ca="1" si="11"/>
        <v>4</v>
      </c>
      <c r="G36" s="152">
        <f t="shared" ca="1" si="11"/>
        <v>5</v>
      </c>
      <c r="H36" s="152">
        <f t="shared" ca="1" si="11"/>
        <v>5</v>
      </c>
      <c r="I36" s="152">
        <f t="shared" ca="1" si="11"/>
        <v>5</v>
      </c>
      <c r="J36" s="152">
        <f t="shared" ca="1" si="11"/>
        <v>6</v>
      </c>
      <c r="K36" s="152">
        <f t="shared" ca="1" si="11"/>
        <v>6</v>
      </c>
      <c r="L36" s="152">
        <f t="shared" ca="1" si="11"/>
        <v>6</v>
      </c>
      <c r="M36" s="152">
        <f t="shared" ca="1" si="11"/>
        <v>5</v>
      </c>
      <c r="N36" s="152">
        <f t="shared" ca="1" si="11"/>
        <v>4</v>
      </c>
      <c r="O36" s="152">
        <f t="shared" ca="1" si="11"/>
        <v>3</v>
      </c>
      <c r="P36" s="152">
        <f t="shared" ca="1" si="11"/>
        <v>3</v>
      </c>
      <c r="Q36" s="152">
        <f t="shared" ca="1" si="11"/>
        <v>3</v>
      </c>
      <c r="R36" s="152">
        <f t="shared" ca="1" si="11"/>
        <v>0</v>
      </c>
    </row>
    <row r="37" spans="1:34" x14ac:dyDescent="0.25">
      <c r="A37" s="150" t="s">
        <v>7</v>
      </c>
      <c r="B37" s="152"/>
      <c r="C37" s="152"/>
      <c r="D37" s="154"/>
      <c r="E37" s="152">
        <f t="shared" ref="E37:R37" ca="1" si="12">IF(E20&gt;TODAY(), #N/A, COUNTIF(INDEX(Burndown,,(E19-1)*BurndownColumns+StatusColumn), "=Complete"))</f>
        <v>46</v>
      </c>
      <c r="F37" s="152">
        <f t="shared" ca="1" si="12"/>
        <v>46</v>
      </c>
      <c r="G37" s="152">
        <f t="shared" ca="1" si="12"/>
        <v>48</v>
      </c>
      <c r="H37" s="152">
        <f t="shared" ca="1" si="12"/>
        <v>48</v>
      </c>
      <c r="I37" s="152">
        <f t="shared" ca="1" si="12"/>
        <v>48</v>
      </c>
      <c r="J37" s="152">
        <f t="shared" ca="1" si="12"/>
        <v>48</v>
      </c>
      <c r="K37" s="152">
        <f t="shared" ca="1" si="12"/>
        <v>50</v>
      </c>
      <c r="L37" s="152">
        <f t="shared" ca="1" si="12"/>
        <v>50</v>
      </c>
      <c r="M37" s="152">
        <f t="shared" ca="1" si="12"/>
        <v>52</v>
      </c>
      <c r="N37" s="152">
        <f t="shared" ca="1" si="12"/>
        <v>54</v>
      </c>
      <c r="O37" s="152">
        <f t="shared" ca="1" si="12"/>
        <v>55</v>
      </c>
      <c r="P37" s="152">
        <f t="shared" ca="1" si="12"/>
        <v>55</v>
      </c>
      <c r="Q37" s="152">
        <f t="shared" ca="1" si="12"/>
        <v>55</v>
      </c>
      <c r="R37" s="152">
        <f t="shared" ca="1" si="12"/>
        <v>58</v>
      </c>
    </row>
    <row r="38" spans="1:34" x14ac:dyDescent="0.25">
      <c r="A38" s="142"/>
      <c r="B38" s="142"/>
      <c r="C38" s="142"/>
      <c r="D38" s="142"/>
      <c r="E38" s="142"/>
      <c r="F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</row>
    <row r="39" spans="1:34" x14ac:dyDescent="0.25">
      <c r="A39" s="150" t="s">
        <v>25</v>
      </c>
      <c r="B39" s="152"/>
      <c r="C39" s="152"/>
      <c r="D39" s="152"/>
      <c r="E39" s="152"/>
      <c r="F39" s="152"/>
      <c r="G39" s="150" t="s">
        <v>24</v>
      </c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</row>
    <row r="40" spans="1:34" ht="13.5" customHeight="1" x14ac:dyDescent="0.25">
      <c r="A40" s="150"/>
      <c r="B40" s="152" t="s">
        <v>26</v>
      </c>
      <c r="C40" s="152"/>
      <c r="D40" s="152"/>
      <c r="E40" s="152">
        <v>0</v>
      </c>
      <c r="F40" s="152"/>
      <c r="G40" s="152" t="s">
        <v>86</v>
      </c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</row>
    <row r="41" spans="1:34" ht="13.5" customHeight="1" x14ac:dyDescent="0.25">
      <c r="A41" s="150"/>
      <c r="B41" s="152" t="s">
        <v>87</v>
      </c>
      <c r="C41" s="152"/>
      <c r="D41" s="152"/>
      <c r="E41" s="152">
        <v>0</v>
      </c>
      <c r="F41" s="152"/>
      <c r="G41" s="152" t="s">
        <v>88</v>
      </c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</row>
    <row r="42" spans="1:34" ht="13" x14ac:dyDescent="0.3">
      <c r="A42" s="150"/>
      <c r="B42" s="152"/>
      <c r="C42" s="152"/>
      <c r="D42" s="152"/>
      <c r="E42" s="152"/>
      <c r="F42" s="152"/>
      <c r="G42" s="157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</row>
    <row r="43" spans="1:34" x14ac:dyDescent="0.25">
      <c r="A43" s="150" t="s">
        <v>17</v>
      </c>
      <c r="B43" s="152"/>
      <c r="C43" s="152"/>
      <c r="D43" s="152"/>
      <c r="E43" s="152"/>
      <c r="F43" s="152"/>
      <c r="G43" s="15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</row>
    <row r="44" spans="1:34" x14ac:dyDescent="0.25">
      <c r="A44" s="152"/>
      <c r="B44" s="152" t="s">
        <v>15</v>
      </c>
      <c r="C44" s="152"/>
      <c r="D44" s="152"/>
      <c r="E44" s="152">
        <v>3</v>
      </c>
      <c r="F44" s="152"/>
      <c r="G44" s="15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</row>
    <row r="45" spans="1:34" ht="13" x14ac:dyDescent="0.3">
      <c r="A45" s="152"/>
      <c r="B45" s="152" t="s">
        <v>19</v>
      </c>
      <c r="C45" s="152"/>
      <c r="D45" s="152"/>
      <c r="E45" s="152">
        <v>1</v>
      </c>
      <c r="F45" s="152"/>
      <c r="G45" s="157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</row>
    <row r="46" spans="1:34" ht="13" x14ac:dyDescent="0.3">
      <c r="A46" s="152"/>
      <c r="B46" s="152" t="s">
        <v>18</v>
      </c>
      <c r="C46" s="152"/>
      <c r="D46" s="152"/>
      <c r="E46" s="152">
        <v>2</v>
      </c>
      <c r="F46" s="157"/>
      <c r="G46" s="157"/>
    </row>
    <row r="47" spans="1:34" ht="13" x14ac:dyDescent="0.3">
      <c r="A47" s="152"/>
      <c r="B47" s="152" t="s">
        <v>16</v>
      </c>
      <c r="C47" s="152"/>
      <c r="D47" s="152"/>
      <c r="E47" s="152">
        <v>3</v>
      </c>
      <c r="F47" s="157"/>
      <c r="G47" s="157"/>
    </row>
    <row r="48" spans="1:34" x14ac:dyDescent="0.25">
      <c r="A48" s="142"/>
      <c r="C48" s="142"/>
      <c r="D48" s="142"/>
    </row>
    <row r="49" spans="1:1" x14ac:dyDescent="0.25">
      <c r="A49" s="143"/>
    </row>
    <row r="50" spans="1:1" x14ac:dyDescent="0.25">
      <c r="A50" s="142"/>
    </row>
    <row r="51" spans="1:1" x14ac:dyDescent="0.25">
      <c r="A51" s="142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G8" sqref="G8"/>
    </sheetView>
  </sheetViews>
  <sheetFormatPr defaultColWidth="9.1796875" defaultRowHeight="12.5" x14ac:dyDescent="0.25"/>
  <cols>
    <col min="1" max="1" width="2.26953125" style="38" customWidth="1"/>
    <col min="2" max="2" width="23.453125" style="39" customWidth="1"/>
    <col min="3" max="4" width="6.54296875" style="39" bestFit="1" customWidth="1"/>
    <col min="5" max="5" width="24.54296875" style="38" customWidth="1"/>
    <col min="6" max="6" width="13.7265625" style="38" customWidth="1"/>
    <col min="7" max="7" width="12.7265625" style="38" bestFit="1" customWidth="1"/>
    <col min="8" max="8" width="1.81640625" style="38" customWidth="1"/>
    <col min="9" max="9" width="6.81640625" style="38" bestFit="1" customWidth="1"/>
    <col min="10" max="10" width="3.1796875" style="38" customWidth="1"/>
    <col min="11" max="15" width="3.7265625" style="38" customWidth="1"/>
    <col min="16" max="16" width="6.81640625" style="38" bestFit="1" customWidth="1"/>
    <col min="17" max="22" width="3.7265625" style="38" customWidth="1"/>
    <col min="23" max="23" width="4" style="38" customWidth="1"/>
    <col min="24" max="28" width="3" style="38" customWidth="1"/>
    <col min="29" max="38" width="9.1796875" style="38"/>
    <col min="39" max="16384" width="9.1796875" style="6"/>
  </cols>
  <sheetData>
    <row r="1" spans="2:28" ht="13" thickBot="1" x14ac:dyDescent="0.3"/>
    <row r="2" spans="2:28" x14ac:dyDescent="0.25">
      <c r="B2" s="40" t="s">
        <v>44</v>
      </c>
      <c r="C2" s="41"/>
      <c r="D2" s="42" t="str">
        <f ca="1">TEXT(E2,"ddd")</f>
        <v>sáb</v>
      </c>
      <c r="E2" s="43">
        <f ca="1">TODAY()</f>
        <v>45458</v>
      </c>
    </row>
    <row r="3" spans="2:28" ht="13" thickBot="1" x14ac:dyDescent="0.3">
      <c r="B3" s="44" t="s">
        <v>43</v>
      </c>
      <c r="C3" s="45"/>
      <c r="D3" s="46" t="str">
        <f>TEXT(E3,"ddd")</f>
        <v>qua</v>
      </c>
      <c r="E3" s="47">
        <v>45420</v>
      </c>
    </row>
    <row r="4" spans="2:28" ht="13" thickBot="1" x14ac:dyDescent="0.3">
      <c r="D4" s="38"/>
      <c r="E4" s="48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2:28" ht="15.5" thickBot="1" x14ac:dyDescent="0.35">
      <c r="B5" s="178" t="s">
        <v>47</v>
      </c>
      <c r="C5" s="179"/>
      <c r="D5" s="179"/>
      <c r="E5" s="179"/>
      <c r="F5" s="179"/>
      <c r="G5" s="180"/>
      <c r="I5" s="50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3"/>
      <c r="X5" s="52"/>
      <c r="Y5" s="52"/>
      <c r="Z5" s="52"/>
      <c r="AA5" s="52"/>
      <c r="AB5" s="54"/>
    </row>
    <row r="6" spans="2:28" ht="13" thickBot="1" x14ac:dyDescent="0.3">
      <c r="B6" s="55" t="s">
        <v>54</v>
      </c>
      <c r="C6" s="56">
        <v>8</v>
      </c>
      <c r="D6" s="57"/>
      <c r="E6" s="58" t="s">
        <v>55</v>
      </c>
      <c r="F6" s="59">
        <v>14</v>
      </c>
      <c r="G6" s="60"/>
      <c r="I6" s="61">
        <f>IF(D3="seg",E3-0,IF(D3="Ter",E3-1,IF(D3="qua",E3-2,IF(D3="qui",E3-3,IF(D3="ser",E3-4,IF(D3="Sab",E3-5,IF(D3="dom",E3-6,"False")))))))</f>
        <v>45418</v>
      </c>
      <c r="J6" s="62">
        <f t="shared" ref="J6:O6" si="0">I6+1</f>
        <v>45419</v>
      </c>
      <c r="K6" s="62">
        <f t="shared" si="0"/>
        <v>45420</v>
      </c>
      <c r="L6" s="62">
        <f t="shared" si="0"/>
        <v>45421</v>
      </c>
      <c r="M6" s="62">
        <f t="shared" si="0"/>
        <v>45422</v>
      </c>
      <c r="N6" s="63">
        <f t="shared" si="0"/>
        <v>45423</v>
      </c>
      <c r="O6" s="63">
        <f t="shared" si="0"/>
        <v>45424</v>
      </c>
      <c r="P6" s="64">
        <f>I6+7</f>
        <v>45425</v>
      </c>
      <c r="Q6" s="62">
        <f t="shared" ref="Q6:V6" si="1">P6+1</f>
        <v>45426</v>
      </c>
      <c r="R6" s="62">
        <f t="shared" si="1"/>
        <v>45427</v>
      </c>
      <c r="S6" s="62">
        <f t="shared" si="1"/>
        <v>45428</v>
      </c>
      <c r="T6" s="62">
        <f t="shared" si="1"/>
        <v>45429</v>
      </c>
      <c r="U6" s="63">
        <f t="shared" si="1"/>
        <v>45430</v>
      </c>
      <c r="V6" s="63">
        <f t="shared" si="1"/>
        <v>45431</v>
      </c>
      <c r="W6" s="181"/>
      <c r="X6" s="182"/>
      <c r="Y6" s="182"/>
      <c r="Z6" s="182"/>
      <c r="AA6" s="182"/>
      <c r="AB6" s="183"/>
    </row>
    <row r="7" spans="2:28" ht="29.25" customHeight="1" thickBot="1" x14ac:dyDescent="0.3">
      <c r="B7" s="65"/>
      <c r="C7" s="66"/>
      <c r="D7" s="57"/>
      <c r="E7" s="67" t="s">
        <v>45</v>
      </c>
      <c r="F7" s="67" t="s">
        <v>52</v>
      </c>
      <c r="G7" s="68" t="s">
        <v>46</v>
      </c>
      <c r="I7" s="69" t="s">
        <v>32</v>
      </c>
      <c r="J7" s="70" t="s">
        <v>34</v>
      </c>
      <c r="K7" s="70" t="s">
        <v>35</v>
      </c>
      <c r="L7" s="70" t="s">
        <v>34</v>
      </c>
      <c r="M7" s="70" t="s">
        <v>36</v>
      </c>
      <c r="N7" s="71" t="s">
        <v>33</v>
      </c>
      <c r="O7" s="72" t="s">
        <v>33</v>
      </c>
      <c r="P7" s="69" t="s">
        <v>32</v>
      </c>
      <c r="Q7" s="70" t="s">
        <v>34</v>
      </c>
      <c r="R7" s="70" t="s">
        <v>35</v>
      </c>
      <c r="S7" s="70" t="s">
        <v>34</v>
      </c>
      <c r="T7" s="70" t="s">
        <v>36</v>
      </c>
      <c r="U7" s="71" t="s">
        <v>33</v>
      </c>
      <c r="V7" s="72" t="s">
        <v>33</v>
      </c>
      <c r="W7" s="184" t="s">
        <v>42</v>
      </c>
      <c r="X7" s="185"/>
      <c r="Y7" s="185"/>
      <c r="Z7" s="185"/>
      <c r="AA7" s="185"/>
      <c r="AB7" s="186"/>
    </row>
    <row r="8" spans="2:28" ht="13" thickBot="1" x14ac:dyDescent="0.3">
      <c r="B8" s="73" t="s">
        <v>37</v>
      </c>
      <c r="C8" s="74">
        <f>SUM(G8:G25)</f>
        <v>0</v>
      </c>
      <c r="D8" s="75"/>
      <c r="E8" s="76" t="s">
        <v>138</v>
      </c>
      <c r="F8" s="77">
        <v>1</v>
      </c>
      <c r="G8" s="78">
        <f>SUMIF(Sprint!$F$4:$F$1854,E8,Sprint!$AX$4:$AX$1854)</f>
        <v>0</v>
      </c>
      <c r="H8" s="79"/>
      <c r="I8" s="85">
        <f t="shared" ref="I8:J23" si="2">IF(I$6&lt;$E$3,0,IF(ISBLANK($E8),0,IF(I$6&lt;$E$2,0,1)))</f>
        <v>0</v>
      </c>
      <c r="J8" s="86">
        <f t="shared" si="2"/>
        <v>0</v>
      </c>
      <c r="K8" s="86">
        <f t="shared" ref="K8:M23" ca="1" si="3">IF(K$6&lt;$E$3,0,IF(ISBLANK($E8),0,IF(K$6&lt;$E$2,0,1)))</f>
        <v>0</v>
      </c>
      <c r="L8" s="86">
        <f t="shared" ca="1" si="3"/>
        <v>0</v>
      </c>
      <c r="M8" s="86">
        <f t="shared" ca="1" si="3"/>
        <v>0</v>
      </c>
      <c r="N8" s="80"/>
      <c r="O8" s="81"/>
      <c r="P8" s="85">
        <f t="shared" ref="P8:T18" ca="1" si="4">IF(P$6&lt;$E$3,0,IF(ISBLANK($E8),0,IF(P$6&lt;$E$2,0,1)))</f>
        <v>0</v>
      </c>
      <c r="Q8" s="86">
        <f t="shared" ca="1" si="4"/>
        <v>0</v>
      </c>
      <c r="R8" s="86">
        <f t="shared" ca="1" si="4"/>
        <v>0</v>
      </c>
      <c r="S8" s="86">
        <f t="shared" ca="1" si="4"/>
        <v>0</v>
      </c>
      <c r="T8" s="86">
        <f t="shared" ca="1" si="4"/>
        <v>0</v>
      </c>
      <c r="U8" s="80"/>
      <c r="V8" s="81"/>
      <c r="W8" s="175">
        <f t="shared" ref="W8:W25" ca="1" si="5">IF(E8="unassigned",0,(COUNTIF(I8:V8,1)*$C$6)*F8)</f>
        <v>0</v>
      </c>
      <c r="X8" s="176"/>
      <c r="Y8" s="176"/>
      <c r="Z8" s="176"/>
      <c r="AA8" s="176"/>
      <c r="AB8" s="177"/>
    </row>
    <row r="9" spans="2:28" ht="13" thickBot="1" x14ac:dyDescent="0.3">
      <c r="B9" s="82" t="s">
        <v>38</v>
      </c>
      <c r="C9" s="74">
        <f ca="1">SUM(W8:AB25)</f>
        <v>0</v>
      </c>
      <c r="D9" s="83"/>
      <c r="E9" s="18" t="s">
        <v>139</v>
      </c>
      <c r="F9" s="84">
        <v>1</v>
      </c>
      <c r="G9" s="78">
        <f>SUMIF(Sprint!$F$4:$F$1854,E9,Sprint!$AX$4:$AX$1854)</f>
        <v>0</v>
      </c>
      <c r="H9" s="79"/>
      <c r="I9" s="85">
        <f t="shared" si="2"/>
        <v>0</v>
      </c>
      <c r="J9" s="86">
        <f t="shared" si="2"/>
        <v>0</v>
      </c>
      <c r="K9" s="86">
        <f t="shared" ca="1" si="3"/>
        <v>0</v>
      </c>
      <c r="L9" s="86">
        <f t="shared" ca="1" si="3"/>
        <v>0</v>
      </c>
      <c r="M9" s="86">
        <f t="shared" ca="1" si="3"/>
        <v>0</v>
      </c>
      <c r="N9" s="87"/>
      <c r="O9" s="88"/>
      <c r="P9" s="85">
        <f t="shared" ca="1" si="4"/>
        <v>0</v>
      </c>
      <c r="Q9" s="86">
        <f t="shared" ca="1" si="4"/>
        <v>0</v>
      </c>
      <c r="R9" s="86">
        <f t="shared" ca="1" si="4"/>
        <v>0</v>
      </c>
      <c r="S9" s="86">
        <f t="shared" ca="1" si="4"/>
        <v>0</v>
      </c>
      <c r="T9" s="86">
        <f t="shared" ca="1" si="4"/>
        <v>0</v>
      </c>
      <c r="U9" s="87"/>
      <c r="V9" s="88"/>
      <c r="W9" s="175">
        <f t="shared" ca="1" si="5"/>
        <v>0</v>
      </c>
      <c r="X9" s="176"/>
      <c r="Y9" s="176"/>
      <c r="Z9" s="176"/>
      <c r="AA9" s="176"/>
      <c r="AB9" s="177"/>
    </row>
    <row r="10" spans="2:28" ht="13" thickBot="1" x14ac:dyDescent="0.3">
      <c r="B10" s="89" t="s">
        <v>39</v>
      </c>
      <c r="C10" s="90">
        <f ca="1">C8-C9</f>
        <v>0</v>
      </c>
      <c r="D10" s="57"/>
      <c r="E10" s="18" t="s">
        <v>140</v>
      </c>
      <c r="F10" s="84">
        <v>1</v>
      </c>
      <c r="G10" s="78">
        <f>SUMIF(Sprint!$F$4:$F$1854,E10,Sprint!$AX$4:$AX$1854)</f>
        <v>0</v>
      </c>
      <c r="H10" s="79"/>
      <c r="I10" s="85">
        <f t="shared" si="2"/>
        <v>0</v>
      </c>
      <c r="J10" s="86">
        <f t="shared" si="2"/>
        <v>0</v>
      </c>
      <c r="K10" s="86">
        <f t="shared" ca="1" si="3"/>
        <v>0</v>
      </c>
      <c r="L10" s="86">
        <f t="shared" ca="1" si="3"/>
        <v>0</v>
      </c>
      <c r="M10" s="86">
        <f t="shared" ca="1" si="3"/>
        <v>0</v>
      </c>
      <c r="N10" s="87"/>
      <c r="O10" s="88"/>
      <c r="P10" s="85">
        <f t="shared" ca="1" si="4"/>
        <v>0</v>
      </c>
      <c r="Q10" s="86">
        <f t="shared" ca="1" si="4"/>
        <v>0</v>
      </c>
      <c r="R10" s="86">
        <f t="shared" ca="1" si="4"/>
        <v>0</v>
      </c>
      <c r="S10" s="86">
        <f t="shared" ca="1" si="4"/>
        <v>0</v>
      </c>
      <c r="T10" s="86">
        <f t="shared" ca="1" si="4"/>
        <v>0</v>
      </c>
      <c r="U10" s="87"/>
      <c r="V10" s="88"/>
      <c r="W10" s="175">
        <f t="shared" ca="1" si="5"/>
        <v>0</v>
      </c>
      <c r="X10" s="176"/>
      <c r="Y10" s="176"/>
      <c r="Z10" s="176"/>
      <c r="AA10" s="176"/>
      <c r="AB10" s="177"/>
    </row>
    <row r="11" spans="2:28" ht="13" thickBot="1" x14ac:dyDescent="0.3">
      <c r="B11" s="91"/>
      <c r="D11" s="92"/>
      <c r="E11" s="18" t="s">
        <v>141</v>
      </c>
      <c r="F11" s="84">
        <v>1</v>
      </c>
      <c r="G11" s="78">
        <f>SUMIF(Sprint!$F$4:$F$1854,E11,Sprint!$AX$4:$AX$1854)</f>
        <v>0</v>
      </c>
      <c r="H11" s="79"/>
      <c r="I11" s="85">
        <f t="shared" si="2"/>
        <v>0</v>
      </c>
      <c r="J11" s="86">
        <f t="shared" si="2"/>
        <v>0</v>
      </c>
      <c r="K11" s="86">
        <f t="shared" ca="1" si="3"/>
        <v>0</v>
      </c>
      <c r="L11" s="86">
        <f t="shared" ca="1" si="3"/>
        <v>0</v>
      </c>
      <c r="M11" s="86">
        <f t="shared" ca="1" si="3"/>
        <v>0</v>
      </c>
      <c r="N11" s="87"/>
      <c r="O11" s="88"/>
      <c r="P11" s="85">
        <f t="shared" ca="1" si="4"/>
        <v>0</v>
      </c>
      <c r="Q11" s="86">
        <f t="shared" ca="1" si="4"/>
        <v>0</v>
      </c>
      <c r="R11" s="86">
        <f t="shared" ca="1" si="4"/>
        <v>0</v>
      </c>
      <c r="S11" s="86">
        <f t="shared" ca="1" si="4"/>
        <v>0</v>
      </c>
      <c r="T11" s="86">
        <f t="shared" ca="1" si="4"/>
        <v>0</v>
      </c>
      <c r="U11" s="87"/>
      <c r="V11" s="88"/>
      <c r="W11" s="175">
        <f t="shared" ca="1" si="5"/>
        <v>0</v>
      </c>
      <c r="X11" s="176"/>
      <c r="Y11" s="176"/>
      <c r="Z11" s="176"/>
      <c r="AA11" s="176"/>
      <c r="AB11" s="177"/>
    </row>
    <row r="12" spans="2:28" ht="13" thickBot="1" x14ac:dyDescent="0.3">
      <c r="B12" s="91"/>
      <c r="D12" s="92"/>
      <c r="E12" s="18" t="s">
        <v>142</v>
      </c>
      <c r="F12" s="84">
        <v>0.5</v>
      </c>
      <c r="G12" s="78">
        <f>SUMIF(Sprint!$F$4:$F$1854,E12,Sprint!$AX$4:$AX$1854)</f>
        <v>0</v>
      </c>
      <c r="H12" s="79"/>
      <c r="I12" s="85">
        <f t="shared" si="2"/>
        <v>0</v>
      </c>
      <c r="J12" s="86">
        <f t="shared" si="2"/>
        <v>0</v>
      </c>
      <c r="K12" s="86">
        <f t="shared" ca="1" si="3"/>
        <v>0</v>
      </c>
      <c r="L12" s="86">
        <f t="shared" ca="1" si="3"/>
        <v>0</v>
      </c>
      <c r="M12" s="86">
        <f t="shared" ca="1" si="3"/>
        <v>0</v>
      </c>
      <c r="N12" s="87"/>
      <c r="O12" s="88"/>
      <c r="P12" s="85">
        <f t="shared" ca="1" si="4"/>
        <v>0</v>
      </c>
      <c r="Q12" s="86">
        <f t="shared" ca="1" si="4"/>
        <v>0</v>
      </c>
      <c r="R12" s="86">
        <f t="shared" ca="1" si="4"/>
        <v>0</v>
      </c>
      <c r="S12" s="86">
        <f t="shared" ca="1" si="4"/>
        <v>0</v>
      </c>
      <c r="T12" s="86">
        <f t="shared" ca="1" si="4"/>
        <v>0</v>
      </c>
      <c r="U12" s="87"/>
      <c r="V12" s="88"/>
      <c r="W12" s="175">
        <f t="shared" ca="1" si="5"/>
        <v>0</v>
      </c>
      <c r="X12" s="176"/>
      <c r="Y12" s="176"/>
      <c r="Z12" s="176"/>
      <c r="AA12" s="176"/>
      <c r="AB12" s="177"/>
    </row>
    <row r="13" spans="2:28" ht="13" thickBot="1" x14ac:dyDescent="0.3">
      <c r="B13" s="91"/>
      <c r="E13" s="18" t="s">
        <v>143</v>
      </c>
      <c r="F13" s="84">
        <v>0.8</v>
      </c>
      <c r="G13" s="78">
        <f>SUMIF(Sprint!$F$4:$F$1854,E13,Sprint!$AX$4:$AX$1854)</f>
        <v>0</v>
      </c>
      <c r="H13" s="79"/>
      <c r="I13" s="85">
        <f t="shared" si="2"/>
        <v>0</v>
      </c>
      <c r="J13" s="86">
        <f t="shared" si="2"/>
        <v>0</v>
      </c>
      <c r="K13" s="86">
        <f t="shared" ca="1" si="3"/>
        <v>0</v>
      </c>
      <c r="L13" s="86">
        <f t="shared" ca="1" si="3"/>
        <v>0</v>
      </c>
      <c r="M13" s="86">
        <f t="shared" ca="1" si="3"/>
        <v>0</v>
      </c>
      <c r="N13" s="87"/>
      <c r="O13" s="88"/>
      <c r="P13" s="85">
        <f t="shared" ca="1" si="4"/>
        <v>0</v>
      </c>
      <c r="Q13" s="86">
        <f t="shared" ca="1" si="4"/>
        <v>0</v>
      </c>
      <c r="R13" s="86">
        <f t="shared" ca="1" si="4"/>
        <v>0</v>
      </c>
      <c r="S13" s="86">
        <f t="shared" ca="1" si="4"/>
        <v>0</v>
      </c>
      <c r="T13" s="86">
        <f t="shared" ca="1" si="4"/>
        <v>0</v>
      </c>
      <c r="U13" s="87"/>
      <c r="V13" s="88"/>
      <c r="W13" s="175">
        <f t="shared" ca="1" si="5"/>
        <v>0</v>
      </c>
      <c r="X13" s="176"/>
      <c r="Y13" s="176"/>
      <c r="Z13" s="176"/>
      <c r="AA13" s="176"/>
      <c r="AB13" s="177"/>
    </row>
    <row r="14" spans="2:28" ht="13" thickBot="1" x14ac:dyDescent="0.3">
      <c r="B14" s="91"/>
      <c r="D14" s="57"/>
      <c r="E14" s="18"/>
      <c r="F14" s="84"/>
      <c r="G14" s="78">
        <f>SUMIF(Sprint!$F$4:$F$1854,E14,Sprint!$AX$4:$AX$1854)</f>
        <v>0</v>
      </c>
      <c r="H14" s="79"/>
      <c r="I14" s="85">
        <f t="shared" si="2"/>
        <v>0</v>
      </c>
      <c r="J14" s="86">
        <f t="shared" si="2"/>
        <v>0</v>
      </c>
      <c r="K14" s="86">
        <f t="shared" si="3"/>
        <v>0</v>
      </c>
      <c r="L14" s="86">
        <f t="shared" si="3"/>
        <v>0</v>
      </c>
      <c r="M14" s="86">
        <f t="shared" si="3"/>
        <v>0</v>
      </c>
      <c r="N14" s="87"/>
      <c r="O14" s="88"/>
      <c r="P14" s="85">
        <f t="shared" si="4"/>
        <v>0</v>
      </c>
      <c r="Q14" s="86">
        <f t="shared" si="4"/>
        <v>0</v>
      </c>
      <c r="R14" s="86">
        <f t="shared" si="4"/>
        <v>0</v>
      </c>
      <c r="S14" s="86">
        <f t="shared" si="4"/>
        <v>0</v>
      </c>
      <c r="T14" s="86">
        <f t="shared" si="4"/>
        <v>0</v>
      </c>
      <c r="U14" s="87"/>
      <c r="V14" s="88"/>
      <c r="W14" s="175">
        <f t="shared" si="5"/>
        <v>0</v>
      </c>
      <c r="X14" s="176"/>
      <c r="Y14" s="176"/>
      <c r="Z14" s="176"/>
      <c r="AA14" s="176"/>
      <c r="AB14" s="177"/>
    </row>
    <row r="15" spans="2:28" ht="13" thickBot="1" x14ac:dyDescent="0.3">
      <c r="B15" s="91"/>
      <c r="D15" s="57"/>
      <c r="E15" s="18"/>
      <c r="F15" s="84"/>
      <c r="G15" s="78">
        <f>SUMIF(Sprint!$F$4:$F$1854,E15,Sprint!$AX$4:$AX$1854)</f>
        <v>0</v>
      </c>
      <c r="H15" s="79"/>
      <c r="I15" s="85">
        <f t="shared" si="2"/>
        <v>0</v>
      </c>
      <c r="J15" s="86">
        <f t="shared" si="2"/>
        <v>0</v>
      </c>
      <c r="K15" s="86">
        <f t="shared" si="3"/>
        <v>0</v>
      </c>
      <c r="L15" s="86">
        <f t="shared" si="3"/>
        <v>0</v>
      </c>
      <c r="M15" s="86">
        <f t="shared" si="3"/>
        <v>0</v>
      </c>
      <c r="N15" s="87"/>
      <c r="O15" s="88"/>
      <c r="P15" s="85">
        <f t="shared" si="4"/>
        <v>0</v>
      </c>
      <c r="Q15" s="86">
        <f t="shared" si="4"/>
        <v>0</v>
      </c>
      <c r="R15" s="86">
        <f t="shared" si="4"/>
        <v>0</v>
      </c>
      <c r="S15" s="86">
        <f t="shared" si="4"/>
        <v>0</v>
      </c>
      <c r="T15" s="86">
        <f t="shared" si="4"/>
        <v>0</v>
      </c>
      <c r="U15" s="87"/>
      <c r="V15" s="88"/>
      <c r="W15" s="175">
        <f t="shared" si="5"/>
        <v>0</v>
      </c>
      <c r="X15" s="176"/>
      <c r="Y15" s="176"/>
      <c r="Z15" s="176"/>
      <c r="AA15" s="176"/>
      <c r="AB15" s="177"/>
    </row>
    <row r="16" spans="2:28" ht="13" thickBot="1" x14ac:dyDescent="0.3">
      <c r="B16" s="91"/>
      <c r="E16" s="18"/>
      <c r="F16" s="84"/>
      <c r="G16" s="78">
        <f>SUMIF(Sprint!$F$4:$F$1854,E16,Sprint!$AX$4:$AX$1854)</f>
        <v>0</v>
      </c>
      <c r="H16" s="79"/>
      <c r="I16" s="85">
        <f t="shared" si="2"/>
        <v>0</v>
      </c>
      <c r="J16" s="86">
        <f t="shared" si="2"/>
        <v>0</v>
      </c>
      <c r="K16" s="86">
        <f t="shared" si="3"/>
        <v>0</v>
      </c>
      <c r="L16" s="86">
        <f t="shared" si="3"/>
        <v>0</v>
      </c>
      <c r="M16" s="86">
        <f t="shared" si="3"/>
        <v>0</v>
      </c>
      <c r="N16" s="87"/>
      <c r="O16" s="88"/>
      <c r="P16" s="85">
        <f t="shared" si="4"/>
        <v>0</v>
      </c>
      <c r="Q16" s="86">
        <f t="shared" si="4"/>
        <v>0</v>
      </c>
      <c r="R16" s="86">
        <f t="shared" si="4"/>
        <v>0</v>
      </c>
      <c r="S16" s="86">
        <f t="shared" si="4"/>
        <v>0</v>
      </c>
      <c r="T16" s="86">
        <f t="shared" si="4"/>
        <v>0</v>
      </c>
      <c r="U16" s="87"/>
      <c r="V16" s="88"/>
      <c r="W16" s="175">
        <f t="shared" si="5"/>
        <v>0</v>
      </c>
      <c r="X16" s="176"/>
      <c r="Y16" s="176"/>
      <c r="Z16" s="176"/>
      <c r="AA16" s="176"/>
      <c r="AB16" s="177"/>
    </row>
    <row r="17" spans="2:28" ht="13" thickBot="1" x14ac:dyDescent="0.3">
      <c r="B17" s="91"/>
      <c r="E17" s="18"/>
      <c r="F17" s="84"/>
      <c r="G17" s="78">
        <f>SUMIF(Sprint!$F$4:$F$1854,E17,Sprint!$AX$4:$AX$1854)</f>
        <v>0</v>
      </c>
      <c r="H17" s="93"/>
      <c r="I17" s="85">
        <f t="shared" si="2"/>
        <v>0</v>
      </c>
      <c r="J17" s="86">
        <f t="shared" si="2"/>
        <v>0</v>
      </c>
      <c r="K17" s="86">
        <f t="shared" si="3"/>
        <v>0</v>
      </c>
      <c r="L17" s="86">
        <f t="shared" si="3"/>
        <v>0</v>
      </c>
      <c r="M17" s="86">
        <f t="shared" si="3"/>
        <v>0</v>
      </c>
      <c r="N17" s="87"/>
      <c r="O17" s="88"/>
      <c r="P17" s="85">
        <f t="shared" si="4"/>
        <v>0</v>
      </c>
      <c r="Q17" s="86">
        <f t="shared" si="4"/>
        <v>0</v>
      </c>
      <c r="R17" s="86">
        <f t="shared" si="4"/>
        <v>0</v>
      </c>
      <c r="S17" s="86">
        <f t="shared" si="4"/>
        <v>0</v>
      </c>
      <c r="T17" s="86">
        <f t="shared" si="4"/>
        <v>0</v>
      </c>
      <c r="U17" s="87"/>
      <c r="V17" s="88"/>
      <c r="W17" s="175">
        <f t="shared" si="5"/>
        <v>0</v>
      </c>
      <c r="X17" s="176"/>
      <c r="Y17" s="176"/>
      <c r="Z17" s="176"/>
      <c r="AA17" s="176"/>
      <c r="AB17" s="177"/>
    </row>
    <row r="18" spans="2:28" ht="13" thickBot="1" x14ac:dyDescent="0.3">
      <c r="B18" s="91"/>
      <c r="E18" s="18"/>
      <c r="F18" s="84"/>
      <c r="G18" s="78">
        <f>SUMIF(Sprint!$F$4:$F$1854,E18,Sprint!$AX$4:$AX$1854)</f>
        <v>0</v>
      </c>
      <c r="H18" s="93"/>
      <c r="I18" s="85">
        <f t="shared" si="2"/>
        <v>0</v>
      </c>
      <c r="J18" s="86">
        <f t="shared" si="2"/>
        <v>0</v>
      </c>
      <c r="K18" s="86">
        <f t="shared" si="3"/>
        <v>0</v>
      </c>
      <c r="L18" s="86">
        <f t="shared" si="3"/>
        <v>0</v>
      </c>
      <c r="M18" s="86">
        <f t="shared" si="3"/>
        <v>0</v>
      </c>
      <c r="N18" s="87"/>
      <c r="O18" s="88"/>
      <c r="P18" s="85">
        <f t="shared" si="4"/>
        <v>0</v>
      </c>
      <c r="Q18" s="86">
        <f t="shared" si="4"/>
        <v>0</v>
      </c>
      <c r="R18" s="86">
        <f t="shared" si="4"/>
        <v>0</v>
      </c>
      <c r="S18" s="86">
        <f t="shared" si="4"/>
        <v>0</v>
      </c>
      <c r="T18" s="86">
        <f t="shared" si="4"/>
        <v>0</v>
      </c>
      <c r="U18" s="87"/>
      <c r="V18" s="88"/>
      <c r="W18" s="175">
        <f t="shared" si="5"/>
        <v>0</v>
      </c>
      <c r="X18" s="176"/>
      <c r="Y18" s="176"/>
      <c r="Z18" s="176"/>
      <c r="AA18" s="176"/>
      <c r="AB18" s="177"/>
    </row>
    <row r="19" spans="2:28" ht="13" thickBot="1" x14ac:dyDescent="0.3">
      <c r="B19" s="91"/>
      <c r="E19" s="18"/>
      <c r="F19" s="84"/>
      <c r="G19" s="78">
        <f>SUMIF(Sprint!$F$4:$F$1854,E19,Sprint!$AX$4:$AX$1854)</f>
        <v>0</v>
      </c>
      <c r="H19" s="93"/>
      <c r="I19" s="85">
        <f t="shared" ref="I19:J25" si="6">IF(I$6&lt;$E$3,0,IF(ISBLANK($E19),0,IF(I$6&lt;$E$2,0,1)))</f>
        <v>0</v>
      </c>
      <c r="J19" s="86">
        <f t="shared" si="2"/>
        <v>0</v>
      </c>
      <c r="K19" s="86">
        <f t="shared" si="3"/>
        <v>0</v>
      </c>
      <c r="L19" s="86">
        <f t="shared" si="3"/>
        <v>0</v>
      </c>
      <c r="M19" s="86">
        <f t="shared" si="3"/>
        <v>0</v>
      </c>
      <c r="N19" s="87"/>
      <c r="O19" s="88"/>
      <c r="P19" s="85">
        <f t="shared" ref="P19:Q25" si="7">IF(P$6&lt;$E$3,0,IF(ISBLANK($E19),0,IF(P$6&lt;$E$2,0,1)))</f>
        <v>0</v>
      </c>
      <c r="Q19" s="86">
        <f t="shared" si="7"/>
        <v>0</v>
      </c>
      <c r="R19" s="86">
        <f t="shared" ref="R19:T23" si="8">IF(R$6&lt;$E$3,0,IF(ISBLANK($E19),0,IF(R$6&lt;$E$2,0,1)))</f>
        <v>0</v>
      </c>
      <c r="S19" s="86">
        <f t="shared" si="8"/>
        <v>0</v>
      </c>
      <c r="T19" s="86">
        <f t="shared" si="8"/>
        <v>0</v>
      </c>
      <c r="U19" s="87"/>
      <c r="V19" s="88"/>
      <c r="W19" s="175">
        <f t="shared" si="5"/>
        <v>0</v>
      </c>
      <c r="X19" s="176"/>
      <c r="Y19" s="176"/>
      <c r="Z19" s="176"/>
      <c r="AA19" s="176"/>
      <c r="AB19" s="177"/>
    </row>
    <row r="20" spans="2:28" ht="13" thickBot="1" x14ac:dyDescent="0.3">
      <c r="B20" s="91"/>
      <c r="E20" s="18"/>
      <c r="F20" s="84"/>
      <c r="G20" s="78">
        <f>SUMIF(Sprint!$F$4:$F$1854,E20,Sprint!$AX$4:$AX$1854)</f>
        <v>0</v>
      </c>
      <c r="H20" s="93"/>
      <c r="I20" s="85">
        <f t="shared" si="6"/>
        <v>0</v>
      </c>
      <c r="J20" s="86">
        <f t="shared" si="2"/>
        <v>0</v>
      </c>
      <c r="K20" s="86">
        <f t="shared" si="3"/>
        <v>0</v>
      </c>
      <c r="L20" s="86">
        <f t="shared" si="3"/>
        <v>0</v>
      </c>
      <c r="M20" s="86">
        <f t="shared" si="3"/>
        <v>0</v>
      </c>
      <c r="N20" s="87"/>
      <c r="O20" s="88"/>
      <c r="P20" s="85">
        <f t="shared" si="7"/>
        <v>0</v>
      </c>
      <c r="Q20" s="86">
        <f t="shared" si="7"/>
        <v>0</v>
      </c>
      <c r="R20" s="86">
        <f t="shared" si="8"/>
        <v>0</v>
      </c>
      <c r="S20" s="86">
        <f t="shared" si="8"/>
        <v>0</v>
      </c>
      <c r="T20" s="86">
        <f t="shared" si="8"/>
        <v>0</v>
      </c>
      <c r="U20" s="87"/>
      <c r="V20" s="88"/>
      <c r="W20" s="175">
        <f t="shared" si="5"/>
        <v>0</v>
      </c>
      <c r="X20" s="176"/>
      <c r="Y20" s="176"/>
      <c r="Z20" s="176"/>
      <c r="AA20" s="176"/>
      <c r="AB20" s="177"/>
    </row>
    <row r="21" spans="2:28" ht="13" thickBot="1" x14ac:dyDescent="0.3">
      <c r="B21" s="91"/>
      <c r="C21" s="38"/>
      <c r="E21" s="18"/>
      <c r="F21" s="84"/>
      <c r="G21" s="78">
        <f>SUMIF(Sprint!$F$4:$F$1854,E21,Sprint!$AX$4:$AX$1854)</f>
        <v>0</v>
      </c>
      <c r="H21" s="93"/>
      <c r="I21" s="85">
        <f t="shared" si="6"/>
        <v>0</v>
      </c>
      <c r="J21" s="86">
        <f t="shared" si="2"/>
        <v>0</v>
      </c>
      <c r="K21" s="86">
        <f t="shared" si="3"/>
        <v>0</v>
      </c>
      <c r="L21" s="86">
        <f t="shared" si="3"/>
        <v>0</v>
      </c>
      <c r="M21" s="86">
        <f t="shared" si="3"/>
        <v>0</v>
      </c>
      <c r="N21" s="87"/>
      <c r="O21" s="88"/>
      <c r="P21" s="85">
        <f t="shared" si="7"/>
        <v>0</v>
      </c>
      <c r="Q21" s="86">
        <f t="shared" si="7"/>
        <v>0</v>
      </c>
      <c r="R21" s="86">
        <f t="shared" si="8"/>
        <v>0</v>
      </c>
      <c r="S21" s="86">
        <f t="shared" si="8"/>
        <v>0</v>
      </c>
      <c r="T21" s="86">
        <f t="shared" si="8"/>
        <v>0</v>
      </c>
      <c r="U21" s="87"/>
      <c r="V21" s="88"/>
      <c r="W21" s="175">
        <f t="shared" si="5"/>
        <v>0</v>
      </c>
      <c r="X21" s="176"/>
      <c r="Y21" s="176"/>
      <c r="Z21" s="176"/>
      <c r="AA21" s="176"/>
      <c r="AB21" s="177"/>
    </row>
    <row r="22" spans="2:28" ht="13" thickBot="1" x14ac:dyDescent="0.3">
      <c r="B22" s="65"/>
      <c r="C22" s="94"/>
      <c r="E22" s="18"/>
      <c r="F22" s="95"/>
      <c r="G22" s="78">
        <f>SUMIF(Sprint!$F$4:$F$1854,E22,Sprint!$AX$4:$AX$1854)</f>
        <v>0</v>
      </c>
      <c r="H22" s="93"/>
      <c r="I22" s="85">
        <f t="shared" si="6"/>
        <v>0</v>
      </c>
      <c r="J22" s="86">
        <f t="shared" si="2"/>
        <v>0</v>
      </c>
      <c r="K22" s="86">
        <f t="shared" si="3"/>
        <v>0</v>
      </c>
      <c r="L22" s="86">
        <f t="shared" si="3"/>
        <v>0</v>
      </c>
      <c r="M22" s="86">
        <f t="shared" si="3"/>
        <v>0</v>
      </c>
      <c r="N22" s="87"/>
      <c r="O22" s="88"/>
      <c r="P22" s="85">
        <f t="shared" si="7"/>
        <v>0</v>
      </c>
      <c r="Q22" s="86">
        <f t="shared" si="7"/>
        <v>0</v>
      </c>
      <c r="R22" s="86">
        <f t="shared" si="8"/>
        <v>0</v>
      </c>
      <c r="S22" s="86">
        <f t="shared" si="8"/>
        <v>0</v>
      </c>
      <c r="T22" s="86">
        <f t="shared" si="8"/>
        <v>0</v>
      </c>
      <c r="U22" s="87"/>
      <c r="V22" s="88"/>
      <c r="W22" s="175">
        <f t="shared" si="5"/>
        <v>0</v>
      </c>
      <c r="X22" s="176"/>
      <c r="Y22" s="176"/>
      <c r="Z22" s="176"/>
      <c r="AA22" s="176"/>
      <c r="AB22" s="177"/>
    </row>
    <row r="23" spans="2:28" ht="13" thickBot="1" x14ac:dyDescent="0.3">
      <c r="B23" s="65"/>
      <c r="E23" s="18"/>
      <c r="F23" s="95"/>
      <c r="G23" s="78">
        <f>SUMIF(Sprint!$F$4:$F$1854,E23,Sprint!$AX$4:$AX$1854)</f>
        <v>0</v>
      </c>
      <c r="H23" s="93"/>
      <c r="I23" s="85">
        <f t="shared" si="6"/>
        <v>0</v>
      </c>
      <c r="J23" s="86">
        <f t="shared" si="2"/>
        <v>0</v>
      </c>
      <c r="K23" s="86">
        <f t="shared" si="3"/>
        <v>0</v>
      </c>
      <c r="L23" s="86">
        <f t="shared" si="3"/>
        <v>0</v>
      </c>
      <c r="M23" s="86">
        <f t="shared" si="3"/>
        <v>0</v>
      </c>
      <c r="N23" s="87"/>
      <c r="O23" s="88"/>
      <c r="P23" s="85">
        <f t="shared" si="7"/>
        <v>0</v>
      </c>
      <c r="Q23" s="86">
        <f t="shared" si="7"/>
        <v>0</v>
      </c>
      <c r="R23" s="86">
        <f t="shared" si="8"/>
        <v>0</v>
      </c>
      <c r="S23" s="86">
        <f t="shared" si="8"/>
        <v>0</v>
      </c>
      <c r="T23" s="86">
        <f t="shared" si="8"/>
        <v>0</v>
      </c>
      <c r="U23" s="87"/>
      <c r="V23" s="88"/>
      <c r="W23" s="175">
        <f t="shared" si="5"/>
        <v>0</v>
      </c>
      <c r="X23" s="176"/>
      <c r="Y23" s="176"/>
      <c r="Z23" s="176"/>
      <c r="AA23" s="176"/>
      <c r="AB23" s="177"/>
    </row>
    <row r="24" spans="2:28" ht="13" thickBot="1" x14ac:dyDescent="0.3">
      <c r="B24" s="91"/>
      <c r="E24" s="18"/>
      <c r="F24" s="95"/>
      <c r="G24" s="78">
        <f>SUMIF(Sprint!$F$4:$F$1854,E24,Sprint!$AX$4:$AX$1854)</f>
        <v>0</v>
      </c>
      <c r="H24" s="93"/>
      <c r="I24" s="85">
        <f t="shared" si="6"/>
        <v>0</v>
      </c>
      <c r="J24" s="86">
        <f t="shared" si="6"/>
        <v>0</v>
      </c>
      <c r="K24" s="86">
        <f t="shared" ref="K24:M25" si="9">IF(K$6&lt;$E$3,0,IF(ISBLANK($E24),0,IF(K$6&lt;$E$2,0,1)))</f>
        <v>0</v>
      </c>
      <c r="L24" s="86">
        <f t="shared" si="9"/>
        <v>0</v>
      </c>
      <c r="M24" s="86">
        <f t="shared" si="9"/>
        <v>0</v>
      </c>
      <c r="N24" s="87"/>
      <c r="O24" s="88"/>
      <c r="P24" s="85">
        <f t="shared" si="7"/>
        <v>0</v>
      </c>
      <c r="Q24" s="86">
        <f t="shared" si="7"/>
        <v>0</v>
      </c>
      <c r="R24" s="86">
        <f t="shared" ref="R24:T25" si="10">IF(R$6&lt;$E$3,0,IF(ISBLANK($E24),0,IF(R$6&lt;$E$2,0,1)))</f>
        <v>0</v>
      </c>
      <c r="S24" s="86">
        <f t="shared" si="10"/>
        <v>0</v>
      </c>
      <c r="T24" s="86">
        <f t="shared" si="10"/>
        <v>0</v>
      </c>
      <c r="U24" s="87"/>
      <c r="V24" s="88"/>
      <c r="W24" s="175">
        <f t="shared" si="5"/>
        <v>0</v>
      </c>
      <c r="X24" s="176"/>
      <c r="Y24" s="176"/>
      <c r="Z24" s="176"/>
      <c r="AA24" s="176"/>
      <c r="AB24" s="177"/>
    </row>
    <row r="25" spans="2:28" ht="13" thickBot="1" x14ac:dyDescent="0.3">
      <c r="B25" s="91"/>
      <c r="E25" s="96"/>
      <c r="F25" s="97"/>
      <c r="G25" s="78">
        <f>SUMIF(Sprint!$F$4:$F$1854,E25,Sprint!$AX$4:$AX$1854)</f>
        <v>0</v>
      </c>
      <c r="H25" s="93"/>
      <c r="I25" s="98">
        <f t="shared" si="6"/>
        <v>0</v>
      </c>
      <c r="J25" s="86">
        <f t="shared" si="6"/>
        <v>0</v>
      </c>
      <c r="K25" s="99">
        <f t="shared" si="9"/>
        <v>0</v>
      </c>
      <c r="L25" s="99">
        <f t="shared" si="9"/>
        <v>0</v>
      </c>
      <c r="M25" s="99">
        <f t="shared" si="9"/>
        <v>0</v>
      </c>
      <c r="N25" s="100"/>
      <c r="O25" s="101"/>
      <c r="P25" s="98">
        <f t="shared" si="7"/>
        <v>0</v>
      </c>
      <c r="Q25" s="99">
        <f t="shared" si="7"/>
        <v>0</v>
      </c>
      <c r="R25" s="99">
        <f t="shared" si="10"/>
        <v>0</v>
      </c>
      <c r="S25" s="99">
        <f t="shared" si="10"/>
        <v>0</v>
      </c>
      <c r="T25" s="99">
        <f t="shared" si="10"/>
        <v>0</v>
      </c>
      <c r="U25" s="100"/>
      <c r="V25" s="101"/>
      <c r="W25" s="175">
        <f t="shared" si="5"/>
        <v>0</v>
      </c>
      <c r="X25" s="176"/>
      <c r="Y25" s="176"/>
      <c r="Z25" s="176"/>
      <c r="AA25" s="176"/>
      <c r="AB25" s="177"/>
    </row>
    <row r="26" spans="2:28" x14ac:dyDescent="0.25">
      <c r="B26" s="91"/>
      <c r="E26" s="102"/>
      <c r="G26" s="103"/>
      <c r="I26" s="104"/>
      <c r="J26" s="105"/>
      <c r="K26" s="105"/>
      <c r="L26" s="105"/>
      <c r="M26" s="105"/>
      <c r="N26" s="106"/>
      <c r="O26" s="106"/>
      <c r="P26" s="105"/>
      <c r="Q26" s="105"/>
      <c r="R26" s="105"/>
      <c r="S26" s="105"/>
      <c r="T26" s="105"/>
      <c r="U26" s="106"/>
      <c r="V26" s="106"/>
      <c r="W26" s="107"/>
      <c r="X26" s="107"/>
      <c r="Y26" s="107"/>
      <c r="Z26" s="107"/>
      <c r="AA26" s="107"/>
      <c r="AB26" s="108"/>
    </row>
    <row r="27" spans="2:28" ht="13" thickBot="1" x14ac:dyDescent="0.3">
      <c r="B27" s="109"/>
      <c r="C27" s="110"/>
      <c r="D27" s="110"/>
      <c r="E27" s="111"/>
      <c r="F27" s="111"/>
      <c r="G27" s="112"/>
      <c r="I27" s="113"/>
      <c r="J27" s="111"/>
      <c r="K27" s="111"/>
      <c r="L27" s="111"/>
      <c r="M27" s="114"/>
      <c r="N27" s="114"/>
      <c r="O27" s="114"/>
      <c r="P27" s="114"/>
      <c r="Q27" s="114"/>
      <c r="R27" s="111"/>
      <c r="S27" s="111"/>
      <c r="T27" s="114"/>
      <c r="U27" s="114"/>
      <c r="V27" s="114"/>
      <c r="W27" s="111"/>
      <c r="X27" s="111"/>
      <c r="Y27" s="111"/>
      <c r="Z27" s="111"/>
      <c r="AA27" s="111"/>
      <c r="AB27" s="112"/>
    </row>
    <row r="29" spans="2:28" x14ac:dyDescent="0.25">
      <c r="I29" s="115" t="s">
        <v>50</v>
      </c>
      <c r="J29" s="38" t="s">
        <v>40</v>
      </c>
      <c r="K29" s="38" t="s">
        <v>51</v>
      </c>
      <c r="Q29" s="115" t="s">
        <v>49</v>
      </c>
      <c r="R29" s="38" t="s">
        <v>40</v>
      </c>
      <c r="S29" s="38" t="s">
        <v>53</v>
      </c>
    </row>
    <row r="30" spans="2:28" x14ac:dyDescent="0.25">
      <c r="C30" s="116"/>
      <c r="D30" s="116"/>
    </row>
    <row r="31" spans="2:28" x14ac:dyDescent="0.25">
      <c r="C31" s="116"/>
      <c r="D31" s="116"/>
      <c r="E31" s="117"/>
      <c r="J31" s="6"/>
    </row>
    <row r="32" spans="2:28" x14ac:dyDescent="0.25">
      <c r="C32" s="116"/>
      <c r="D32" s="116"/>
      <c r="E32" s="117"/>
      <c r="F32" s="48"/>
    </row>
    <row r="37" spans="2:22" x14ac:dyDescent="0.25">
      <c r="I37" s="118"/>
    </row>
    <row r="38" spans="2:22" x14ac:dyDescent="0.25">
      <c r="J38" s="119"/>
      <c r="K38" s="102"/>
      <c r="L38" s="102"/>
      <c r="M38" s="102"/>
      <c r="N38" s="102"/>
      <c r="O38" s="102"/>
      <c r="Q38" s="119"/>
      <c r="R38" s="102"/>
      <c r="S38" s="102"/>
      <c r="T38" s="102"/>
      <c r="U38" s="102"/>
      <c r="V38" s="102"/>
    </row>
    <row r="40" spans="2:22" x14ac:dyDescent="0.25">
      <c r="E40" s="6"/>
    </row>
    <row r="45" spans="2:22" x14ac:dyDescent="0.25">
      <c r="B45" s="120"/>
      <c r="E45" s="118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P8:T25 I8:M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 xr:uid="{00000000-0002-0000-0200-000000000000}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4:I51"/>
  <sheetViews>
    <sheetView topLeftCell="A4" workbookViewId="0">
      <selection activeCell="E14" sqref="E14"/>
    </sheetView>
  </sheetViews>
  <sheetFormatPr defaultColWidth="9.1796875" defaultRowHeight="12.5" x14ac:dyDescent="0.25"/>
  <cols>
    <col min="1" max="1" width="2.7265625" style="38" customWidth="1"/>
    <col min="2" max="2" width="18.453125" style="38" bestFit="1" customWidth="1"/>
    <col min="3" max="4" width="14.1796875" style="38" bestFit="1" customWidth="1"/>
    <col min="5" max="6" width="15.1796875" style="38" bestFit="1" customWidth="1"/>
    <col min="7" max="7" width="13.7265625" style="38" customWidth="1"/>
    <col min="8" max="8" width="28.7265625" style="38" customWidth="1"/>
    <col min="9" max="9" width="2.81640625" style="38" bestFit="1" customWidth="1"/>
    <col min="10" max="16384" width="9.1796875" style="38"/>
  </cols>
  <sheetData>
    <row r="4" spans="2:8" x14ac:dyDescent="0.25">
      <c r="B4" s="121" t="s">
        <v>56</v>
      </c>
    </row>
    <row r="5" spans="2:8" ht="13" thickBot="1" x14ac:dyDescent="0.3"/>
    <row r="6" spans="2:8" ht="13.5" thickTop="1" thickBot="1" x14ac:dyDescent="0.3">
      <c r="B6" s="121" t="s">
        <v>41</v>
      </c>
      <c r="C6" s="122" t="s">
        <v>97</v>
      </c>
      <c r="D6" s="123" t="s">
        <v>90</v>
      </c>
      <c r="E6" s="124" t="s">
        <v>96</v>
      </c>
      <c r="F6" s="125" t="s">
        <v>95</v>
      </c>
      <c r="G6" s="125" t="s">
        <v>99</v>
      </c>
      <c r="H6" s="126" t="s">
        <v>98</v>
      </c>
    </row>
    <row r="7" spans="2:8" ht="13" thickTop="1" x14ac:dyDescent="0.25">
      <c r="C7" s="127"/>
      <c r="D7" s="128"/>
      <c r="E7" s="129"/>
      <c r="F7" s="130"/>
      <c r="G7" s="130"/>
      <c r="H7" s="131"/>
    </row>
    <row r="8" spans="2:8" x14ac:dyDescent="0.25">
      <c r="C8" s="132" t="s">
        <v>149</v>
      </c>
      <c r="D8" s="133" t="s">
        <v>138</v>
      </c>
      <c r="E8" s="133" t="s">
        <v>93</v>
      </c>
      <c r="F8" s="134" t="s">
        <v>94</v>
      </c>
      <c r="G8" s="133" t="s">
        <v>100</v>
      </c>
      <c r="H8" s="133" t="s">
        <v>91</v>
      </c>
    </row>
    <row r="9" spans="2:8" x14ac:dyDescent="0.25">
      <c r="C9" s="132" t="s">
        <v>146</v>
      </c>
      <c r="D9" s="133" t="s">
        <v>139</v>
      </c>
      <c r="E9" s="133" t="s">
        <v>93</v>
      </c>
      <c r="F9" s="134" t="s">
        <v>94</v>
      </c>
      <c r="G9" s="133" t="s">
        <v>100</v>
      </c>
      <c r="H9" s="133" t="s">
        <v>91</v>
      </c>
    </row>
    <row r="10" spans="2:8" ht="11.25" customHeight="1" x14ac:dyDescent="0.25">
      <c r="C10" s="132" t="s">
        <v>147</v>
      </c>
      <c r="D10" s="133" t="s">
        <v>140</v>
      </c>
      <c r="E10" s="133" t="s">
        <v>93</v>
      </c>
      <c r="F10" s="134" t="s">
        <v>94</v>
      </c>
      <c r="G10" s="133" t="s">
        <v>100</v>
      </c>
      <c r="H10" s="133" t="s">
        <v>91</v>
      </c>
    </row>
    <row r="11" spans="2:8" x14ac:dyDescent="0.25">
      <c r="C11" s="132" t="s">
        <v>148</v>
      </c>
      <c r="D11" s="133" t="s">
        <v>141</v>
      </c>
      <c r="E11" s="133" t="s">
        <v>93</v>
      </c>
      <c r="F11" s="134" t="s">
        <v>94</v>
      </c>
      <c r="G11" s="133" t="s">
        <v>100</v>
      </c>
      <c r="H11" s="133" t="s">
        <v>91</v>
      </c>
    </row>
    <row r="12" spans="2:8" x14ac:dyDescent="0.25">
      <c r="C12" s="132" t="s">
        <v>145</v>
      </c>
      <c r="D12" s="133" t="s">
        <v>142</v>
      </c>
      <c r="E12" s="133" t="s">
        <v>93</v>
      </c>
      <c r="F12" s="134" t="s">
        <v>94</v>
      </c>
      <c r="G12" s="133" t="s">
        <v>100</v>
      </c>
      <c r="H12" s="133" t="s">
        <v>91</v>
      </c>
    </row>
    <row r="13" spans="2:8" x14ac:dyDescent="0.25">
      <c r="C13" s="132" t="s">
        <v>144</v>
      </c>
      <c r="D13" s="133" t="s">
        <v>169</v>
      </c>
      <c r="E13" s="133" t="s">
        <v>93</v>
      </c>
      <c r="F13" s="134" t="s">
        <v>94</v>
      </c>
      <c r="G13" s="133" t="s">
        <v>100</v>
      </c>
      <c r="H13" s="133" t="s">
        <v>91</v>
      </c>
    </row>
    <row r="14" spans="2:8" x14ac:dyDescent="0.25">
      <c r="C14" s="132"/>
      <c r="D14" s="133"/>
      <c r="E14" s="133"/>
      <c r="F14" s="134"/>
      <c r="G14" s="133"/>
      <c r="H14" s="133"/>
    </row>
    <row r="15" spans="2:8" x14ac:dyDescent="0.25">
      <c r="C15" s="132" t="s">
        <v>132</v>
      </c>
      <c r="D15" s="133" t="s">
        <v>132</v>
      </c>
      <c r="E15" s="133"/>
      <c r="F15" s="134"/>
      <c r="G15" s="133"/>
      <c r="H15" s="133"/>
    </row>
    <row r="16" spans="2:8" x14ac:dyDescent="0.25">
      <c r="C16" s="132"/>
      <c r="D16" s="133"/>
      <c r="E16" s="133"/>
      <c r="F16" s="134"/>
      <c r="G16" s="133"/>
      <c r="H16" s="133"/>
    </row>
    <row r="17" spans="3:8" x14ac:dyDescent="0.25">
      <c r="C17" s="132"/>
      <c r="D17" s="133"/>
      <c r="E17" s="133"/>
      <c r="F17" s="134"/>
      <c r="G17" s="133"/>
      <c r="H17" s="133"/>
    </row>
    <row r="18" spans="3:8" x14ac:dyDescent="0.25">
      <c r="C18" s="132"/>
      <c r="D18" s="133"/>
      <c r="E18" s="133"/>
      <c r="F18" s="134"/>
      <c r="G18" s="133"/>
      <c r="H18" s="133"/>
    </row>
    <row r="19" spans="3:8" x14ac:dyDescent="0.25">
      <c r="C19" s="132"/>
      <c r="D19" s="133"/>
      <c r="E19" s="133"/>
      <c r="F19" s="134"/>
      <c r="G19" s="133"/>
      <c r="H19" s="133"/>
    </row>
    <row r="20" spans="3:8" x14ac:dyDescent="0.25">
      <c r="C20" s="132"/>
      <c r="D20" s="133"/>
      <c r="E20" s="133"/>
      <c r="F20" s="134"/>
      <c r="G20" s="133"/>
      <c r="H20" s="133"/>
    </row>
    <row r="21" spans="3:8" x14ac:dyDescent="0.25">
      <c r="C21" s="132"/>
      <c r="D21" s="133"/>
      <c r="E21" s="133"/>
      <c r="F21" s="134"/>
      <c r="G21" s="133"/>
      <c r="H21" s="133"/>
    </row>
    <row r="22" spans="3:8" x14ac:dyDescent="0.25">
      <c r="C22" s="132"/>
      <c r="D22" s="133"/>
      <c r="E22" s="133"/>
      <c r="F22" s="134"/>
      <c r="G22" s="133"/>
      <c r="H22" s="133"/>
    </row>
    <row r="23" spans="3:8" x14ac:dyDescent="0.25">
      <c r="C23" s="132"/>
      <c r="D23" s="133"/>
      <c r="E23" s="133"/>
      <c r="F23" s="134"/>
      <c r="G23" s="133"/>
      <c r="H23" s="133"/>
    </row>
    <row r="24" spans="3:8" x14ac:dyDescent="0.25">
      <c r="C24" s="132"/>
      <c r="D24" s="133"/>
      <c r="E24" s="133"/>
      <c r="F24" s="134"/>
      <c r="G24" s="133"/>
      <c r="H24" s="133"/>
    </row>
    <row r="25" spans="3:8" ht="13" thickBot="1" x14ac:dyDescent="0.3">
      <c r="C25" s="135"/>
      <c r="D25" s="136"/>
      <c r="E25" s="136"/>
      <c r="F25" s="137"/>
      <c r="G25" s="138"/>
      <c r="H25" s="139"/>
    </row>
    <row r="26" spans="3:8" ht="13" thickTop="1" x14ac:dyDescent="0.25"/>
    <row r="41" spans="7:9" x14ac:dyDescent="0.25">
      <c r="G41" s="121"/>
      <c r="I41" s="140"/>
    </row>
    <row r="43" spans="7:9" x14ac:dyDescent="0.25">
      <c r="G43" s="121"/>
      <c r="H43" s="140"/>
      <c r="I43" s="140"/>
    </row>
    <row r="51" spans="4:4" x14ac:dyDescent="0.25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33"/>
  <sheetViews>
    <sheetView topLeftCell="A6" workbookViewId="0">
      <selection activeCell="B31" sqref="B31"/>
    </sheetView>
  </sheetViews>
  <sheetFormatPr defaultRowHeight="12.5" x14ac:dyDescent="0.25"/>
  <cols>
    <col min="1" max="1" width="21.54296875" bestFit="1" customWidth="1"/>
    <col min="2" max="2" width="6.7265625" bestFit="1" customWidth="1"/>
    <col min="3" max="3" width="7.26953125" bestFit="1" customWidth="1"/>
  </cols>
  <sheetData>
    <row r="1" spans="1:3" ht="14.5" x14ac:dyDescent="0.35">
      <c r="A1" s="158" t="s">
        <v>103</v>
      </c>
      <c r="B1" s="159"/>
    </row>
    <row r="2" spans="1:3" ht="14.5" x14ac:dyDescent="0.35">
      <c r="A2" s="160" t="s">
        <v>104</v>
      </c>
      <c r="B2" s="161">
        <f>COUNTIF(Sprint!$A$4:$A$92, "Feature")</f>
        <v>12</v>
      </c>
      <c r="C2" s="166">
        <f>B2/$B$6</f>
        <v>1</v>
      </c>
    </row>
    <row r="3" spans="1:3" ht="14.5" x14ac:dyDescent="0.35">
      <c r="A3" s="160" t="s">
        <v>105</v>
      </c>
      <c r="B3" s="161">
        <f>COUNTIF(Sprint!$A$4:$A$92, "Tax")</f>
        <v>0</v>
      </c>
      <c r="C3" s="166">
        <f t="shared" ref="C3:C5" si="0">B3/$B$6</f>
        <v>0</v>
      </c>
    </row>
    <row r="4" spans="1:3" ht="14.5" x14ac:dyDescent="0.35">
      <c r="A4" s="160" t="s">
        <v>106</v>
      </c>
      <c r="B4" s="161">
        <f>COUNTIF(Sprint!$A$4:$A$92, "Precondition")</f>
        <v>0</v>
      </c>
      <c r="C4" s="166">
        <f t="shared" si="0"/>
        <v>0</v>
      </c>
    </row>
    <row r="5" spans="1:3" ht="14.5" x14ac:dyDescent="0.35">
      <c r="A5" s="160" t="s">
        <v>107</v>
      </c>
      <c r="B5" s="161">
        <f>COUNTIF(Sprint!$A$4:$A$92, "Spike")</f>
        <v>0</v>
      </c>
      <c r="C5" s="166">
        <f t="shared" si="0"/>
        <v>0</v>
      </c>
    </row>
    <row r="6" spans="1:3" ht="14.5" x14ac:dyDescent="0.35">
      <c r="A6" s="162" t="s">
        <v>127</v>
      </c>
      <c r="B6" s="167">
        <f>SUM(B2:B5)</f>
        <v>12</v>
      </c>
      <c r="C6" s="168">
        <f>SUM(C2:C5)</f>
        <v>1</v>
      </c>
    </row>
    <row r="7" spans="1:3" ht="14.5" x14ac:dyDescent="0.35">
      <c r="A7" s="161"/>
      <c r="B7" s="161"/>
    </row>
    <row r="8" spans="1:3" ht="14.5" x14ac:dyDescent="0.35">
      <c r="A8" s="162" t="s">
        <v>108</v>
      </c>
      <c r="B8" s="161"/>
    </row>
    <row r="9" spans="1:3" ht="14.5" x14ac:dyDescent="0.35">
      <c r="A9" s="160" t="s">
        <v>109</v>
      </c>
      <c r="B9" s="161">
        <f>COUNTIF(Sprint!$B$4:$B$209, "Data Model")</f>
        <v>1</v>
      </c>
      <c r="C9" s="166">
        <f>B9/$B$25</f>
        <v>8.3333333333333329E-2</v>
      </c>
    </row>
    <row r="10" spans="1:3" ht="14.5" x14ac:dyDescent="0.35">
      <c r="A10" s="160" t="s">
        <v>110</v>
      </c>
      <c r="B10" s="161">
        <f>COUNTIF(Sprint!$B$4:$B$209, "Integration Model")</f>
        <v>2</v>
      </c>
      <c r="C10" s="166">
        <f>B10/$B$25</f>
        <v>0.16666666666666666</v>
      </c>
    </row>
    <row r="11" spans="1:3" ht="14.5" x14ac:dyDescent="0.35">
      <c r="A11" s="160" t="s">
        <v>111</v>
      </c>
      <c r="B11" s="161">
        <f>COUNTIF(Sprint!$B$4:$B$209, "System Frameworks")</f>
        <v>1</v>
      </c>
      <c r="C11" s="166">
        <f>B11/$B$25</f>
        <v>8.3333333333333329E-2</v>
      </c>
    </row>
    <row r="12" spans="1:3" ht="14.5" x14ac:dyDescent="0.35">
      <c r="A12" s="160" t="s">
        <v>112</v>
      </c>
      <c r="B12" s="161">
        <f>COUNTIF(Sprint!$B$4:$B$209, "Data Conversions")</f>
        <v>0</v>
      </c>
      <c r="C12" s="166">
        <f t="shared" ref="C12:C24" si="1">B12/$B$25</f>
        <v>0</v>
      </c>
    </row>
    <row r="13" spans="1:3" ht="14.5" x14ac:dyDescent="0.35">
      <c r="A13" s="160" t="s">
        <v>113</v>
      </c>
      <c r="B13" s="161">
        <f>COUNTIF(Sprint!$B$4:$B$209, "Security")</f>
        <v>0</v>
      </c>
      <c r="C13" s="166">
        <f t="shared" si="1"/>
        <v>0</v>
      </c>
    </row>
    <row r="14" spans="1:3" ht="14.5" x14ac:dyDescent="0.35">
      <c r="A14" s="160" t="s">
        <v>114</v>
      </c>
      <c r="B14" s="161">
        <f>COUNTIF(Sprint!$B$4:$B$209, "Cash Payment Tracking")</f>
        <v>0</v>
      </c>
      <c r="C14" s="166">
        <f t="shared" si="1"/>
        <v>0</v>
      </c>
    </row>
    <row r="15" spans="1:3" ht="14.5" x14ac:dyDescent="0.35">
      <c r="A15" s="160" t="s">
        <v>115</v>
      </c>
      <c r="B15" s="161">
        <f>COUNTIF(Sprint!$B$4:$B$209, "Views")</f>
        <v>2</v>
      </c>
      <c r="C15" s="166">
        <f t="shared" si="1"/>
        <v>0.16666666666666666</v>
      </c>
    </row>
    <row r="16" spans="1:3" ht="14.5" x14ac:dyDescent="0.35">
      <c r="A16" s="160" t="s">
        <v>116</v>
      </c>
      <c r="B16" s="161">
        <f>COUNTIF(Sprint!$B$4:$B$209, "Lookups")</f>
        <v>0</v>
      </c>
      <c r="C16" s="166">
        <f t="shared" si="1"/>
        <v>0</v>
      </c>
    </row>
    <row r="17" spans="1:3" ht="14.5" x14ac:dyDescent="0.35">
      <c r="A17" s="160" t="s">
        <v>117</v>
      </c>
      <c r="B17" s="161">
        <f>COUNTIF(Sprint!$B$4:$B$209, "Detail screens")</f>
        <v>0</v>
      </c>
      <c r="C17" s="166">
        <f t="shared" si="1"/>
        <v>0</v>
      </c>
    </row>
    <row r="18" spans="1:3" ht="14.5" x14ac:dyDescent="0.35">
      <c r="A18" s="160" t="s">
        <v>118</v>
      </c>
      <c r="B18" s="161">
        <f>COUNTIF(Sprint!$B$4:$B$209, "Notifications")</f>
        <v>2</v>
      </c>
      <c r="C18" s="166">
        <f t="shared" si="1"/>
        <v>0.16666666666666666</v>
      </c>
    </row>
    <row r="19" spans="1:3" ht="14.5" x14ac:dyDescent="0.35">
      <c r="A19" s="160" t="s">
        <v>119</v>
      </c>
      <c r="B19" s="161">
        <f>COUNTIF(Sprint!$B$4:$B$209, "Reports")</f>
        <v>0</v>
      </c>
      <c r="C19" s="166">
        <f t="shared" si="1"/>
        <v>0</v>
      </c>
    </row>
    <row r="20" spans="1:3" ht="14.5" x14ac:dyDescent="0.35">
      <c r="A20" s="160" t="s">
        <v>120</v>
      </c>
      <c r="B20" s="161">
        <f>COUNTIF(Sprint!$B$4:$B$209, "Installation Package")</f>
        <v>0</v>
      </c>
      <c r="C20" s="166">
        <f t="shared" si="1"/>
        <v>0</v>
      </c>
    </row>
    <row r="21" spans="1:3" ht="14.5" x14ac:dyDescent="0.35">
      <c r="A21" s="160" t="s">
        <v>121</v>
      </c>
      <c r="B21" s="161">
        <f>COUNTIF(Sprint!$B$4:$B$209, "Deployment")</f>
        <v>1</v>
      </c>
      <c r="C21" s="166">
        <f t="shared" si="1"/>
        <v>8.3333333333333329E-2</v>
      </c>
    </row>
    <row r="22" spans="1:3" ht="14.5" x14ac:dyDescent="0.35">
      <c r="A22" s="160" t="s">
        <v>122</v>
      </c>
      <c r="B22" s="161">
        <f>COUNTIF(Sprint!$B$4:$B$209, "Documentation")</f>
        <v>0</v>
      </c>
      <c r="C22" s="166">
        <f t="shared" si="1"/>
        <v>0</v>
      </c>
    </row>
    <row r="23" spans="1:3" ht="14.5" x14ac:dyDescent="0.35">
      <c r="A23" s="160" t="s">
        <v>123</v>
      </c>
      <c r="B23" s="161">
        <f>COUNTIF(Sprint!$B$4:$B$209, "Testing")</f>
        <v>3</v>
      </c>
      <c r="C23" s="166">
        <f t="shared" si="1"/>
        <v>0.25</v>
      </c>
    </row>
    <row r="24" spans="1:3" ht="14.5" x14ac:dyDescent="0.35">
      <c r="A24" s="160" t="s">
        <v>124</v>
      </c>
      <c r="B24" s="161">
        <f>COUNTIF(Sprint!$B$4:$B$209, "Project Mgt")</f>
        <v>0</v>
      </c>
      <c r="C24" s="166">
        <f t="shared" si="1"/>
        <v>0</v>
      </c>
    </row>
    <row r="25" spans="1:3" ht="14.5" x14ac:dyDescent="0.35">
      <c r="A25" s="162" t="s">
        <v>127</v>
      </c>
      <c r="B25" s="165">
        <f>SUM(B9:B24)</f>
        <v>12</v>
      </c>
      <c r="C25" s="166">
        <f>SUM(C9:C24)</f>
        <v>1</v>
      </c>
    </row>
    <row r="27" spans="1:3" ht="14.5" x14ac:dyDescent="0.35">
      <c r="A27" s="160" t="s">
        <v>126</v>
      </c>
    </row>
    <row r="28" spans="1:3" ht="14.5" x14ac:dyDescent="0.35">
      <c r="A28" s="160" t="s">
        <v>128</v>
      </c>
      <c r="B28" s="161">
        <f ca="1">COUNTIF(Sprint!$G$4:$G$92, "Complete")</f>
        <v>0</v>
      </c>
      <c r="C28" s="166" t="e">
        <f ca="1">B28/$B$33</f>
        <v>#DIV/0!</v>
      </c>
    </row>
    <row r="29" spans="1:3" ht="14.5" x14ac:dyDescent="0.35">
      <c r="A29" s="160" t="s">
        <v>129</v>
      </c>
      <c r="B29" s="161">
        <f ca="1">COUNTIF(Sprint!$G$4:$G$92, "In Progress")</f>
        <v>0</v>
      </c>
      <c r="C29" s="166" t="e">
        <f t="shared" ref="C29:C32" ca="1" si="2">B29/$B$33</f>
        <v>#DIV/0!</v>
      </c>
    </row>
    <row r="30" spans="1:3" ht="14.5" x14ac:dyDescent="0.35">
      <c r="A30" s="160" t="s">
        <v>130</v>
      </c>
      <c r="B30" s="161">
        <f ca="1">COUNTIF(Sprint!$G$4:$G$92, "Pending")</f>
        <v>0</v>
      </c>
      <c r="C30" s="166" t="e">
        <f t="shared" ca="1" si="2"/>
        <v>#DIV/0!</v>
      </c>
    </row>
    <row r="31" spans="1:3" ht="14.5" x14ac:dyDescent="0.35">
      <c r="A31" s="160" t="s">
        <v>125</v>
      </c>
      <c r="B31" s="161">
        <f ca="1">COUNTIF(Sprint!$G$4:$G$92, "Postponed")</f>
        <v>0</v>
      </c>
      <c r="C31" s="166" t="e">
        <f t="shared" ca="1" si="2"/>
        <v>#DIV/0!</v>
      </c>
    </row>
    <row r="32" spans="1:3" ht="14.5" x14ac:dyDescent="0.35">
      <c r="A32" s="160" t="s">
        <v>131</v>
      </c>
      <c r="B32" s="161">
        <f ca="1">COUNTIF(Sprint!$G$4:$G$92, "Cancelled")</f>
        <v>0</v>
      </c>
      <c r="C32" s="166" t="e">
        <f t="shared" ca="1" si="2"/>
        <v>#DIV/0!</v>
      </c>
    </row>
    <row r="33" spans="1:3" ht="14.5" x14ac:dyDescent="0.35">
      <c r="A33" s="162" t="s">
        <v>127</v>
      </c>
      <c r="B33" s="167">
        <f ca="1">SUM(B28:B32)</f>
        <v>0</v>
      </c>
      <c r="C33" s="169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5</vt:i4>
      </vt:variant>
      <vt:variant>
        <vt:lpstr>Intervalos com Nome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Capacity!Área_de_Impressão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Tomás Nave</cp:lastModifiedBy>
  <cp:revision>1</cp:revision>
  <cp:lastPrinted>2005-08-15T09:18:22Z</cp:lastPrinted>
  <dcterms:created xsi:type="dcterms:W3CDTF">2005-01-26T21:50:47Z</dcterms:created>
  <dcterms:modified xsi:type="dcterms:W3CDTF">2024-06-15T17:51:35Z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